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raev\OneDrive\Рабочий стол\ITMO\2COURSE\2SEM\MathStat\tasks\task1\"/>
    </mc:Choice>
  </mc:AlternateContent>
  <xr:revisionPtr revIDLastSave="0" documentId="13_ncr:1_{FF8D2713-E38E-4D8A-889F-2CE0B075D590}" xr6:coauthVersionLast="47" xr6:coauthVersionMax="47" xr10:uidLastSave="{00000000-0000-0000-0000-000000000000}"/>
  <bookViews>
    <workbookView xWindow="-108" yWindow="-108" windowWidth="41496" windowHeight="16776" xr2:uid="{1D0E994C-E4D1-4BED-A763-82A8FEDEF019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6" i="1" l="1"/>
  <c r="L77" i="1"/>
  <c r="L82" i="1"/>
  <c r="K95" i="1" l="1"/>
  <c r="K91" i="1"/>
  <c r="T90" i="1"/>
  <c r="T89" i="1"/>
  <c r="T88" i="1"/>
  <c r="S90" i="1"/>
  <c r="S89" i="1"/>
  <c r="S88" i="1"/>
  <c r="R90" i="1"/>
  <c r="R89" i="1"/>
  <c r="R88" i="1"/>
  <c r="Q90" i="1"/>
  <c r="Q89" i="1"/>
  <c r="Q91" i="1" s="1"/>
  <c r="Q88" i="1"/>
  <c r="P90" i="1"/>
  <c r="P89" i="1"/>
  <c r="P91" i="1" s="1"/>
  <c r="P88" i="1"/>
  <c r="O90" i="1"/>
  <c r="O89" i="1"/>
  <c r="O91" i="1" s="1"/>
  <c r="O88" i="1"/>
  <c r="N90" i="1"/>
  <c r="N89" i="1"/>
  <c r="N91" i="1" s="1"/>
  <c r="N88" i="1"/>
  <c r="M90" i="1"/>
  <c r="M89" i="1"/>
  <c r="M91" i="1" s="1"/>
  <c r="M88" i="1"/>
  <c r="L89" i="1"/>
  <c r="K88" i="1"/>
  <c r="K97" i="1"/>
  <c r="S81" i="1"/>
  <c r="S80" i="1"/>
  <c r="AH68" i="1"/>
  <c r="K69" i="1"/>
  <c r="K68" i="1"/>
  <c r="AF30" i="1" a="1"/>
  <c r="AF30" i="1" s="1"/>
  <c r="AF29" i="1" a="1"/>
  <c r="AF29" i="1" s="1"/>
  <c r="AF28" i="1" a="1"/>
  <c r="AF28" i="1" s="1"/>
  <c r="O36" i="1"/>
  <c r="F30" i="1"/>
  <c r="L91" i="1"/>
  <c r="R91" i="1"/>
  <c r="R92" i="1" s="1"/>
  <c r="S91" i="1"/>
  <c r="T91" i="1"/>
  <c r="P92" i="1" l="1"/>
  <c r="O92" i="1"/>
  <c r="N92" i="1"/>
  <c r="K92" i="1"/>
  <c r="T92" i="1"/>
  <c r="S92" i="1"/>
  <c r="Q92" i="1"/>
  <c r="M92" i="1"/>
  <c r="L92" i="1"/>
  <c r="R40" i="1"/>
  <c r="V67" i="1" s="1"/>
  <c r="B28" i="1"/>
  <c r="B27" i="1"/>
  <c r="E28" i="1" l="1"/>
  <c r="E32" i="1" s="1"/>
  <c r="S40" i="1" l="1"/>
  <c r="O29" i="1"/>
  <c r="N30" i="1" s="1"/>
  <c r="Q29" i="1"/>
  <c r="Z30" i="1" s="1"/>
  <c r="P29" i="1"/>
  <c r="K66" i="1" s="1"/>
  <c r="R29" i="1" l="1"/>
  <c r="K67" i="1" s="1"/>
  <c r="O30" i="1"/>
  <c r="N31" i="1" s="1"/>
  <c r="Q30" i="1" l="1"/>
  <c r="R30" i="1" s="1"/>
  <c r="S30" i="1" s="1"/>
  <c r="O31" i="1"/>
  <c r="N32" i="1" s="1"/>
  <c r="Q31" i="1"/>
  <c r="P30" i="1"/>
  <c r="L66" i="1" s="1"/>
  <c r="S29" i="1"/>
  <c r="P31" i="1" l="1"/>
  <c r="M66" i="1" s="1"/>
  <c r="Z31" i="1"/>
  <c r="Z32" i="1" s="1"/>
  <c r="L67" i="1"/>
  <c r="R31" i="1"/>
  <c r="L69" i="1"/>
  <c r="L68" i="1"/>
  <c r="O32" i="1"/>
  <c r="N33" i="1" s="1"/>
  <c r="Q32" i="1" l="1"/>
  <c r="R32" i="1" s="1"/>
  <c r="P32" i="1"/>
  <c r="N66" i="1" s="1"/>
  <c r="S31" i="1"/>
  <c r="M67" i="1"/>
  <c r="O33" i="1"/>
  <c r="N34" i="1" s="1"/>
  <c r="Z33" i="1" l="1"/>
  <c r="S32" i="1"/>
  <c r="N67" i="1"/>
  <c r="M68" i="1"/>
  <c r="M69" i="1"/>
  <c r="O34" i="1"/>
  <c r="N35" i="1" s="1"/>
  <c r="Q34" i="1"/>
  <c r="R34" i="1" s="1"/>
  <c r="P33" i="1"/>
  <c r="O66" i="1" s="1"/>
  <c r="Q33" i="1"/>
  <c r="Z34" i="1" s="1"/>
  <c r="S34" i="1" l="1"/>
  <c r="P67" i="1"/>
  <c r="P34" i="1"/>
  <c r="P66" i="1" s="1"/>
  <c r="N68" i="1"/>
  <c r="N69" i="1"/>
  <c r="Z35" i="1"/>
  <c r="O35" i="1"/>
  <c r="N36" i="1" s="1"/>
  <c r="R33" i="1"/>
  <c r="O67" i="1" s="1"/>
  <c r="O69" i="1" s="1"/>
  <c r="Q35" i="1" l="1"/>
  <c r="R35" i="1" s="1"/>
  <c r="S35" i="1" s="1"/>
  <c r="P69" i="1"/>
  <c r="P68" i="1"/>
  <c r="O68" i="1"/>
  <c r="P35" i="1"/>
  <c r="Q66" i="1" s="1"/>
  <c r="S33" i="1"/>
  <c r="N37" i="1"/>
  <c r="Z36" i="1" l="1"/>
  <c r="Q67" i="1"/>
  <c r="Q68" i="1" s="1"/>
  <c r="Q36" i="1"/>
  <c r="R36" i="1" s="1"/>
  <c r="O37" i="1"/>
  <c r="N38" i="1" s="1"/>
  <c r="Q37" i="1"/>
  <c r="R37" i="1" s="1"/>
  <c r="P36" i="1"/>
  <c r="R66" i="1" s="1"/>
  <c r="Q69" i="1" l="1"/>
  <c r="P37" i="1"/>
  <c r="S66" i="1" s="1"/>
  <c r="S37" i="1"/>
  <c r="S67" i="1"/>
  <c r="S36" i="1"/>
  <c r="R67" i="1"/>
  <c r="R68" i="1" s="1"/>
  <c r="Z37" i="1"/>
  <c r="Z38" i="1" s="1"/>
  <c r="O38" i="1"/>
  <c r="N39" i="1" s="1"/>
  <c r="Q38" i="1" l="1"/>
  <c r="R38" i="1" s="1"/>
  <c r="S38" i="1" s="1"/>
  <c r="R69" i="1"/>
  <c r="P38" i="1"/>
  <c r="T66" i="1" s="1"/>
  <c r="S68" i="1"/>
  <c r="S69" i="1"/>
  <c r="O39" i="1"/>
  <c r="N40" i="1" s="1"/>
  <c r="T67" i="1" l="1"/>
  <c r="T68" i="1" s="1"/>
  <c r="Z39" i="1"/>
  <c r="O40" i="1"/>
  <c r="P40" i="1" s="1"/>
  <c r="V66" i="1" s="1"/>
  <c r="P39" i="1"/>
  <c r="U66" i="1" s="1"/>
  <c r="Q39" i="1"/>
  <c r="Z40" i="1" s="1"/>
  <c r="Z41" i="1" s="1"/>
  <c r="T69" i="1" l="1"/>
  <c r="V68" i="1"/>
  <c r="V69" i="1"/>
  <c r="R39" i="1"/>
  <c r="U67" i="1" s="1"/>
  <c r="U68" i="1" s="1"/>
  <c r="Q41" i="1"/>
  <c r="U69" i="1" l="1"/>
  <c r="W69" i="1" s="1"/>
  <c r="W68" i="1"/>
  <c r="L76" i="1" s="1"/>
  <c r="S39" i="1"/>
  <c r="R41" i="1"/>
  <c r="L81" i="1" l="1"/>
  <c r="L8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<sst xmlns="http://schemas.openxmlformats.org/spreadsheetml/2006/main" count="72" uniqueCount="70">
  <si>
    <t>n=100</t>
  </si>
  <si>
    <t>Отсортированные данные</t>
  </si>
  <si>
    <t>Вар</t>
  </si>
  <si>
    <t>интервалов</t>
  </si>
  <si>
    <t>длина отрезка</t>
  </si>
  <si>
    <t>округление до дес</t>
  </si>
  <si>
    <t>a</t>
  </si>
  <si>
    <t>b</t>
  </si>
  <si>
    <t>Номер интервала</t>
  </si>
  <si>
    <t>Числа, совпадающие с границами частичных интервалом, относим к левому интервалу</t>
  </si>
  <si>
    <t>сумм</t>
  </si>
  <si>
    <t>Гистограмма</t>
  </si>
  <si>
    <t>Данные для гистрограммы</t>
  </si>
  <si>
    <t>F(x)</t>
  </si>
  <si>
    <t>x</t>
  </si>
  <si>
    <t>Эмпирическая ф-ция распределения</t>
  </si>
  <si>
    <t>Промежуточные результаты</t>
  </si>
  <si>
    <t>Округляя, получаем</t>
  </si>
  <si>
    <t>t</t>
  </si>
  <si>
    <t>Ф(t)</t>
  </si>
  <si>
    <t>Тогда интервал</t>
  </si>
  <si>
    <t>левая часть</t>
  </si>
  <si>
    <t>правая часть</t>
  </si>
  <si>
    <t>r=k-3</t>
  </si>
  <si>
    <t>Наименьший и набольший эл-ты выборки</t>
  </si>
  <si>
    <t>Шаг разбиения h</t>
  </si>
  <si>
    <t>Таблица 1</t>
  </si>
  <si>
    <t>Номер интервалов</t>
  </si>
  <si>
    <t>Границы интервалов</t>
  </si>
  <si>
    <t>(-2,6;-2,2)</t>
  </si>
  <si>
    <t>(-2,2;-1,9)</t>
  </si>
  <si>
    <t>(-1,9;-1,5)</t>
  </si>
  <si>
    <t>(-1,5;-1,1)</t>
  </si>
  <si>
    <t>(-1,1;-0,8)</t>
  </si>
  <si>
    <t>(-0,8;-0,4)</t>
  </si>
  <si>
    <t>(-0,4;0)</t>
  </si>
  <si>
    <t>(0;0,3)</t>
  </si>
  <si>
    <t>(0,3;0,7)</t>
  </si>
  <si>
    <t>(0,7;1,1)</t>
  </si>
  <si>
    <t>(1,1;1,4)</t>
  </si>
  <si>
    <t>(1,4;1,8)</t>
  </si>
  <si>
    <t>Примечания</t>
  </si>
  <si>
    <t>-2,6      -2,2</t>
  </si>
  <si>
    <t>-2,2      -1,9</t>
  </si>
  <si>
    <t>-1,9      -1,5</t>
  </si>
  <si>
    <t>-1,5      -1,1</t>
  </si>
  <si>
    <t>-1,1      -0,8</t>
  </si>
  <si>
    <t>-0,8      -0,4</t>
  </si>
  <si>
    <t>-0,4      0,0</t>
  </si>
  <si>
    <t>0      0,3</t>
  </si>
  <si>
    <t>0,3      0,7</t>
  </si>
  <si>
    <t>0,7      1,1</t>
  </si>
  <si>
    <t>1,1      1,4</t>
  </si>
  <si>
    <t>1,4      1,8</t>
  </si>
  <si>
    <t>Точечные оценки математического ожидания и дисперсии</t>
  </si>
  <si>
    <t>Интервальный ряд (таблица 1\2 в другом виде)</t>
  </si>
  <si>
    <t>Таблица 3\4</t>
  </si>
  <si>
    <t>Пункт 1</t>
  </si>
  <si>
    <t>Пункт 2</t>
  </si>
  <si>
    <t>&lt;- среднее выборочное значение</t>
  </si>
  <si>
    <t>Средняя выборочная дисперсия</t>
  </si>
  <si>
    <t>Построение доверительного интервала</t>
  </si>
  <si>
    <r>
      <t xml:space="preserve">Доверительная вероятность, </t>
    </r>
    <r>
      <rPr>
        <sz val="11"/>
        <color theme="1"/>
        <rFont val="Calibri"/>
        <family val="2"/>
        <charset val="204"/>
      </rPr>
      <t xml:space="preserve">γ </t>
    </r>
  </si>
  <si>
    <t>-&gt;</t>
  </si>
  <si>
    <t>Тогда доверительный интервал для мат ожидания имеет вид: -0,311 &lt; m &lt; 0,087</t>
  </si>
  <si>
    <t>Пункт 3</t>
  </si>
  <si>
    <t>Проверка статистических гипотез</t>
  </si>
  <si>
    <t>Так как полученное нами значение</t>
  </si>
  <si>
    <t>, то гипотеза о нормальном распределении отвергается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</si>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</sst>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5" xfId="0" applyNumberFormat="1" applyBorder="1"/>
    <xf numFmtId="0" fontId="2" fillId="0" borderId="0" xfId="0" applyFont="1"/>
    <xf numFmtId="0" fontId="2" fillId="0" borderId="0" xfId="0" quotePrefix="1" applyFont="1"/>
    <xf numFmtId="2" fontId="2" fillId="0" borderId="0" xfId="0" applyNumberFormat="1" applyFont="1"/>
    <xf numFmtId="0" fontId="3" fillId="0" borderId="0" xfId="0" applyFont="1"/>
    <xf numFmtId="165" fontId="0" fillId="0" borderId="0" xfId="0" applyNumberFormat="1"/>
    <xf numFmtId="2" fontId="0" fillId="0" borderId="7" xfId="0" applyNumberFormat="1" applyBorder="1"/>
    <xf numFmtId="0" fontId="0" fillId="0" borderId="2" xfId="0" quotePrefix="1" applyBorder="1"/>
    <xf numFmtId="164" fontId="0" fillId="0" borderId="2" xfId="0" applyNumberFormat="1" applyBorder="1"/>
    <xf numFmtId="0" fontId="0" fillId="0" borderId="9" xfId="0" applyBorder="1"/>
    <xf numFmtId="164" fontId="0" fillId="0" borderId="9" xfId="0" applyNumberFormat="1" applyBorder="1"/>
    <xf numFmtId="164" fontId="0" fillId="0" borderId="7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Гистограмма частот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Лист1!$V$30:$V$41</c:f>
              <c:strCache>
                <c:ptCount val="12"/>
                <c:pt idx="0">
                  <c:v>-2,6      -2,2</c:v>
                </c:pt>
                <c:pt idx="1">
                  <c:v>-2,2      -1,9</c:v>
                </c:pt>
                <c:pt idx="2">
                  <c:v>-1,9      -1,5</c:v>
                </c:pt>
                <c:pt idx="3">
                  <c:v>-1,5      -1,1</c:v>
                </c:pt>
                <c:pt idx="4">
                  <c:v>-1,1      -0,8</c:v>
                </c:pt>
                <c:pt idx="5">
                  <c:v>-0,8      -0,4</c:v>
                </c:pt>
                <c:pt idx="6">
                  <c:v>-0,4      0,0</c:v>
                </c:pt>
                <c:pt idx="7">
                  <c:v>0      0,3</c:v>
                </c:pt>
                <c:pt idx="8">
                  <c:v>0,3      0,7</c:v>
                </c:pt>
                <c:pt idx="9">
                  <c:v>0,7      1,1</c:v>
                </c:pt>
                <c:pt idx="10">
                  <c:v>1,1      1,4</c:v>
                </c:pt>
                <c:pt idx="11">
                  <c:v>1,4      1,8</c:v>
                </c:pt>
              </c:strCache>
            </c:strRef>
          </c:cat>
          <c:val>
            <c:numRef>
              <c:f>Лист1!$S$29:$S$40</c:f>
              <c:numCache>
                <c:formatCode>0.00</c:formatCode>
                <c:ptCount val="12"/>
                <c:pt idx="0">
                  <c:v>5.4669703872437365E-2</c:v>
                </c:pt>
                <c:pt idx="1">
                  <c:v>2.7334851936218683E-2</c:v>
                </c:pt>
                <c:pt idx="2">
                  <c:v>0.13667425968109342</c:v>
                </c:pt>
                <c:pt idx="3">
                  <c:v>0.19134396355353078</c:v>
                </c:pt>
                <c:pt idx="4">
                  <c:v>0.43735763097949892</c:v>
                </c:pt>
                <c:pt idx="5">
                  <c:v>0.35535307517084286</c:v>
                </c:pt>
                <c:pt idx="6">
                  <c:v>0.27334851936218685</c:v>
                </c:pt>
                <c:pt idx="7">
                  <c:v>0.19134396355353078</c:v>
                </c:pt>
                <c:pt idx="8">
                  <c:v>0.43735763097949892</c:v>
                </c:pt>
                <c:pt idx="9">
                  <c:v>0.16400911161731208</c:v>
                </c:pt>
                <c:pt idx="10">
                  <c:v>0.24601366742596814</c:v>
                </c:pt>
                <c:pt idx="11">
                  <c:v>0.21867881548974946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8F2-B9AB-A185916A1E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Эмпирическая</a:t>
            </a:r>
            <a:r>
              <a:rPr lang="ru-RU" sz="2000" b="1" baseline="0">
                <a:solidFill>
                  <a:sysClr val="windowText" lastClr="000000"/>
                </a:solidFill>
              </a:rPr>
              <a:t> функция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AB4-4187-968D-962DCFC8639F}"/>
            </c:ext>
          </c:extLst>
        </c:ser>
        <c:ser>
          <c:idx val="3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AB4-4187-968D-962DCFC8639F}"/>
            </c:ext>
          </c:extLst>
        </c:ser>
        <c:ser>
          <c:idx val="1"/>
          <c:order val="2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AB4-4187-968D-962DCFC8639F}"/>
            </c:ext>
          </c:extLst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AB4-4187-968D-962DCFC8639F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627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Эмпирическая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2313386364056217E-2"/>
          <c:y val="0.20964646771065765"/>
          <c:w val="0.9413527394257164"/>
          <c:h val="0.68071275716835611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cat>
          <c: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5-4978-B706-58CCF1F3A6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Полигон частот</a:t>
            </a:r>
            <a:endParaRPr lang="ru-RU" sz="2000" b="1" baseline="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Лист1!$AF$28:$AQ$28</c:f>
              <c:numCache>
                <c:formatCode>General</c:formatCode>
                <c:ptCount val="12"/>
                <c:pt idx="0">
                  <c:v>-2.4170833333333333</c:v>
                </c:pt>
                <c:pt idx="1">
                  <c:v>-2.0512500000000005</c:v>
                </c:pt>
                <c:pt idx="2">
                  <c:v>-1.685416666666667</c:v>
                </c:pt>
                <c:pt idx="3">
                  <c:v>-1.3195833333333338</c:v>
                </c:pt>
                <c:pt idx="4">
                  <c:v>-0.95375000000000054</c:v>
                </c:pt>
                <c:pt idx="5">
                  <c:v>-0.58791666666666731</c:v>
                </c:pt>
                <c:pt idx="6">
                  <c:v>-0.22208333333333399</c:v>
                </c:pt>
                <c:pt idx="7">
                  <c:v>0.1437499999999993</c:v>
                </c:pt>
                <c:pt idx="8">
                  <c:v>0.50958333333333261</c:v>
                </c:pt>
                <c:pt idx="9">
                  <c:v>0.87541666666666584</c:v>
                </c:pt>
                <c:pt idx="10">
                  <c:v>1.2412499999999991</c:v>
                </c:pt>
                <c:pt idx="11">
                  <c:v>1.6070833333333323</c:v>
                </c:pt>
              </c:numCache>
            </c:numRef>
          </c:xVal>
          <c:yVal>
            <c:numRef>
              <c:f>Лист1!$AF$30:$AQ$30</c:f>
              <c:numCache>
                <c:formatCode>General</c:formatCode>
                <c:ptCount val="12"/>
                <c:pt idx="0">
                  <c:v>0.02</c:v>
                </c:pt>
                <c:pt idx="1">
                  <c:v>0.01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0.16</c:v>
                </c:pt>
                <c:pt idx="5">
                  <c:v>0.13</c:v>
                </c:pt>
                <c:pt idx="6">
                  <c:v>0.1</c:v>
                </c:pt>
                <c:pt idx="7">
                  <c:v>7.0000000000000007E-2</c:v>
                </c:pt>
                <c:pt idx="8">
                  <c:v>0.16</c:v>
                </c:pt>
                <c:pt idx="9">
                  <c:v>0.06</c:v>
                </c:pt>
                <c:pt idx="10">
                  <c:v>0.09</c:v>
                </c:pt>
                <c:pt idx="11">
                  <c:v>0.08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622-4062-815F-9888BA4E2629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6278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41</xdr:row>
      <xdr:rowOff>175260</xdr:rowOff>
    </xdr:from>
    <xdr:to>
      <xdr:col>23</xdr:col>
      <xdr:colOff>22860</xdr:colOff>
      <xdr:row>56</xdr:row>
      <xdr:rowOff>175260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AA8D2AB-EDCE-443D-BE69-F7E97F4A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42</xdr:row>
      <xdr:rowOff>0</xdr:rowOff>
    </xdr:from>
    <xdr:to>
      <xdr:col>36</xdr:col>
      <xdr:colOff>525780</xdr:colOff>
      <xdr:row>56</xdr:row>
      <xdr:rowOff>175260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1DE34B-A65E-4401-9A89-C3676BA9B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556260</xdr:colOff>
      <xdr:row>42</xdr:row>
      <xdr:rowOff>7620</xdr:rowOff>
    </xdr:from>
    <xdr:to>
      <xdr:col>50</xdr:col>
      <xdr:colOff>350520</xdr:colOff>
      <xdr:row>56</xdr:row>
      <xdr:rowOff>167640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83281B3-512B-4275-B6D5-03D4AF453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312420</xdr:colOff>
      <xdr:row>30</xdr:row>
      <xdr:rowOff>11430</xdr:rowOff>
    </xdr:from>
    <xdr:ext cx="11394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0E48B66-B5B2-295B-7D50-9197B440DEAA}"/>
                </a:ext>
              </a:extLst>
            </xdr:cNvPr>
            <xdr:cNvSpPr txBox="1"/>
          </xdr:nvSpPr>
          <xdr:spPr>
            <a:xfrm>
              <a:off x="2933700" y="5497830"/>
              <a:ext cx="1139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0E48B66-B5B2-295B-7D50-9197B440DEAA}"/>
                </a:ext>
              </a:extLst>
            </xdr:cNvPr>
            <xdr:cNvSpPr txBox="1"/>
          </xdr:nvSpPr>
          <xdr:spPr>
            <a:xfrm>
              <a:off x="2933700" y="5497830"/>
              <a:ext cx="1139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𝑎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̃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312420</xdr:colOff>
      <xdr:row>31</xdr:row>
      <xdr:rowOff>11430</xdr:rowOff>
    </xdr:from>
    <xdr:ext cx="110992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1770827-CFD0-71F4-BAA7-111DC5D3738D}"/>
                </a:ext>
              </a:extLst>
            </xdr:cNvPr>
            <xdr:cNvSpPr txBox="1"/>
          </xdr:nvSpPr>
          <xdr:spPr>
            <a:xfrm>
              <a:off x="2933700" y="5680710"/>
              <a:ext cx="110992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1770827-CFD0-71F4-BAA7-111DC5D3738D}"/>
                </a:ext>
              </a:extLst>
            </xdr:cNvPr>
            <xdr:cNvSpPr txBox="1"/>
          </xdr:nvSpPr>
          <xdr:spPr>
            <a:xfrm>
              <a:off x="2933700" y="5680710"/>
              <a:ext cx="110992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𝑏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̃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182880</xdr:colOff>
      <xdr:row>26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B51071-7E2A-3ECE-7DE5-FE4D90BF77EB}"/>
                </a:ext>
              </a:extLst>
            </xdr:cNvPr>
            <xdr:cNvSpPr txBox="1"/>
          </xdr:nvSpPr>
          <xdr:spPr>
            <a:xfrm>
              <a:off x="19728180" y="49339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B51071-7E2A-3ECE-7DE5-FE4D90BF77EB}"/>
                </a:ext>
              </a:extLst>
            </xdr:cNvPr>
            <xdr:cNvSpPr txBox="1"/>
          </xdr:nvSpPr>
          <xdr:spPr>
            <a:xfrm>
              <a:off x="19728180" y="49339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182880</xdr:colOff>
      <xdr:row>28</xdr:row>
      <xdr:rowOff>3810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9A7D46E-4A46-5E85-9162-7F30E702412A}"/>
                </a:ext>
              </a:extLst>
            </xdr:cNvPr>
            <xdr:cNvSpPr txBox="1"/>
          </xdr:nvSpPr>
          <xdr:spPr>
            <a:xfrm>
              <a:off x="19728180" y="51244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9A7D46E-4A46-5E85-9162-7F30E702412A}"/>
                </a:ext>
              </a:extLst>
            </xdr:cNvPr>
            <xdr:cNvSpPr txBox="1"/>
          </xdr:nvSpPr>
          <xdr:spPr>
            <a:xfrm>
              <a:off x="19728180" y="51244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167640</xdr:colOff>
      <xdr:row>29</xdr:row>
      <xdr:rowOff>11430</xdr:rowOff>
    </xdr:from>
    <xdr:ext cx="17838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2CD44B4-218C-508F-BB45-1E871BEDAC4F}"/>
                </a:ext>
              </a:extLst>
            </xdr:cNvPr>
            <xdr:cNvSpPr txBox="1"/>
          </xdr:nvSpPr>
          <xdr:spPr>
            <a:xfrm>
              <a:off x="19712940" y="5314950"/>
              <a:ext cx="178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2CD44B4-218C-508F-BB45-1E871BEDAC4F}"/>
                </a:ext>
              </a:extLst>
            </xdr:cNvPr>
            <xdr:cNvSpPr txBox="1"/>
          </xdr:nvSpPr>
          <xdr:spPr>
            <a:xfrm>
              <a:off x="19712940" y="5314950"/>
              <a:ext cx="178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251460</xdr:colOff>
      <xdr:row>26</xdr:row>
      <xdr:rowOff>179070</xdr:rowOff>
    </xdr:from>
    <xdr:ext cx="1510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B9CA9D-5E30-4CEC-D549-F19CB7DB4275}"/>
                </a:ext>
              </a:extLst>
            </xdr:cNvPr>
            <xdr:cNvSpPr txBox="1"/>
          </xdr:nvSpPr>
          <xdr:spPr>
            <a:xfrm>
              <a:off x="9433560" y="494157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B9CA9D-5E30-4CEC-D549-F19CB7DB4275}"/>
                </a:ext>
              </a:extLst>
            </xdr:cNvPr>
            <xdr:cNvSpPr txBox="1"/>
          </xdr:nvSpPr>
          <xdr:spPr>
            <a:xfrm>
              <a:off x="9433560" y="494157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14</xdr:col>
      <xdr:colOff>175260</xdr:colOff>
      <xdr:row>27</xdr:row>
      <xdr:rowOff>11430</xdr:rowOff>
    </xdr:from>
    <xdr:ext cx="28552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8860A55-B2FC-994D-5B5E-6A5683BF408D}"/>
                </a:ext>
              </a:extLst>
            </xdr:cNvPr>
            <xdr:cNvSpPr txBox="1"/>
          </xdr:nvSpPr>
          <xdr:spPr>
            <a:xfrm>
              <a:off x="9966960" y="495681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8860A55-B2FC-994D-5B5E-6A5683BF408D}"/>
                </a:ext>
              </a:extLst>
            </xdr:cNvPr>
            <xdr:cNvSpPr txBox="1"/>
          </xdr:nvSpPr>
          <xdr:spPr>
            <a:xfrm>
              <a:off x="9966960" y="495681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ru-RU" sz="1100" i="0">
                  <a:latin typeface="Cambria Math" panose="02040503050406030204" pitchFamily="18" charset="0"/>
                </a:rPr>
                <a:t>𝑖+1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15</xdr:col>
      <xdr:colOff>205740</xdr:colOff>
      <xdr:row>26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8BF4591-3DC8-9C4C-AC58-6F9FB543B47C}"/>
                </a:ext>
              </a:extLst>
            </xdr:cNvPr>
            <xdr:cNvSpPr txBox="1"/>
          </xdr:nvSpPr>
          <xdr:spPr>
            <a:xfrm>
              <a:off x="11170920" y="509397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8BF4591-3DC8-9C4C-AC58-6F9FB543B47C}"/>
                </a:ext>
              </a:extLst>
            </xdr:cNvPr>
            <xdr:cNvSpPr txBox="1"/>
          </xdr:nvSpPr>
          <xdr:spPr>
            <a:xfrm>
              <a:off x="11170920" y="509397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251460</xdr:colOff>
      <xdr:row>26</xdr:row>
      <xdr:rowOff>171450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68097F6-A6C6-BF7D-3B13-074A19A2BFD2}"/>
                </a:ext>
              </a:extLst>
            </xdr:cNvPr>
            <xdr:cNvSpPr txBox="1"/>
          </xdr:nvSpPr>
          <xdr:spPr>
            <a:xfrm>
              <a:off x="11262360" y="49339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68097F6-A6C6-BF7D-3B13-074A19A2BFD2}"/>
                </a:ext>
              </a:extLst>
            </xdr:cNvPr>
            <xdr:cNvSpPr txBox="1"/>
          </xdr:nvSpPr>
          <xdr:spPr>
            <a:xfrm>
              <a:off x="11262360" y="49339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17</xdr:col>
      <xdr:colOff>236220</xdr:colOff>
      <xdr:row>27</xdr:row>
      <xdr:rowOff>3810</xdr:rowOff>
    </xdr:from>
    <xdr:ext cx="1692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C048F4F-63B5-F41F-4A5F-91B03676F011}"/>
                </a:ext>
              </a:extLst>
            </xdr:cNvPr>
            <xdr:cNvSpPr txBox="1"/>
          </xdr:nvSpPr>
          <xdr:spPr>
            <a:xfrm>
              <a:off x="11856720" y="494919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C048F4F-63B5-F41F-4A5F-91B03676F011}"/>
                </a:ext>
              </a:extLst>
            </xdr:cNvPr>
            <xdr:cNvSpPr txBox="1"/>
          </xdr:nvSpPr>
          <xdr:spPr>
            <a:xfrm>
              <a:off x="11856720" y="494919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𝑝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18</xdr:col>
      <xdr:colOff>228600</xdr:colOff>
      <xdr:row>26</xdr:row>
      <xdr:rowOff>34290</xdr:rowOff>
    </xdr:from>
    <xdr:ext cx="178382" cy="3286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EFFCBD9D-0676-76FF-F70F-60FB3D78D81E}"/>
                </a:ext>
              </a:extLst>
            </xdr:cNvPr>
            <xdr:cNvSpPr txBox="1"/>
          </xdr:nvSpPr>
          <xdr:spPr>
            <a:xfrm>
              <a:off x="12458700" y="4796790"/>
              <a:ext cx="178382" cy="3286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ru-RU" sz="1100" i="0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num>
                      <m:den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EFFCBD9D-0676-76FF-F70F-60FB3D78D81E}"/>
                </a:ext>
              </a:extLst>
            </xdr:cNvPr>
            <xdr:cNvSpPr txBox="1"/>
          </xdr:nvSpPr>
          <xdr:spPr>
            <a:xfrm>
              <a:off x="12458700" y="4796790"/>
              <a:ext cx="178382" cy="3286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</a:t>
              </a:r>
              <a:r>
                <a:rPr lang="ru-RU" sz="1100" i="0">
                  <a:latin typeface="Cambria Math" panose="02040503050406030204" pitchFamily="18" charset="0"/>
                </a:rPr>
                <a:t>ℎ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64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65A0CF-E524-4043-A8AC-9E94706ABC39}"/>
                </a:ext>
              </a:extLst>
            </xdr:cNvPr>
            <xdr:cNvSpPr txBox="1"/>
          </xdr:nvSpPr>
          <xdr:spPr>
            <a:xfrm>
              <a:off x="6758940" y="120586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65A0CF-E524-4043-A8AC-9E94706ABC39}"/>
                </a:ext>
              </a:extLst>
            </xdr:cNvPr>
            <xdr:cNvSpPr txBox="1"/>
          </xdr:nvSpPr>
          <xdr:spPr>
            <a:xfrm>
              <a:off x="6758940" y="120586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66</xdr:row>
      <xdr:rowOff>0</xdr:rowOff>
    </xdr:from>
    <xdr:ext cx="1692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746296-A7EF-472F-90AF-9AF0F0821958}"/>
                </a:ext>
              </a:extLst>
            </xdr:cNvPr>
            <xdr:cNvSpPr txBox="1"/>
          </xdr:nvSpPr>
          <xdr:spPr>
            <a:xfrm>
              <a:off x="6743700" y="1224534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746296-A7EF-472F-90AF-9AF0F0821958}"/>
                </a:ext>
              </a:extLst>
            </xdr:cNvPr>
            <xdr:cNvSpPr txBox="1"/>
          </xdr:nvSpPr>
          <xdr:spPr>
            <a:xfrm>
              <a:off x="6743700" y="1224534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𝑝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7620</xdr:colOff>
      <xdr:row>67</xdr:row>
      <xdr:rowOff>3810</xdr:rowOff>
    </xdr:from>
    <xdr:ext cx="41934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BF47875-4626-F884-9E0D-182724DAA0AA}"/>
                </a:ext>
              </a:extLst>
            </xdr:cNvPr>
            <xdr:cNvSpPr txBox="1"/>
          </xdr:nvSpPr>
          <xdr:spPr>
            <a:xfrm>
              <a:off x="6751320" y="12432030"/>
              <a:ext cx="4193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ru-RU" sz="1100" i="0">
                        <a:latin typeface="Cambria Math" panose="02040503050406030204" pitchFamily="18" charset="0"/>
                      </a:rPr>
                      <m:t>⋅</m:t>
                    </m:r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BF47875-4626-F884-9E0D-182724DAA0AA}"/>
                </a:ext>
              </a:extLst>
            </xdr:cNvPr>
            <xdr:cNvSpPr txBox="1"/>
          </xdr:nvSpPr>
          <xdr:spPr>
            <a:xfrm>
              <a:off x="6751320" y="12432030"/>
              <a:ext cx="4193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8</xdr:col>
      <xdr:colOff>601980</xdr:colOff>
      <xdr:row>68</xdr:row>
      <xdr:rowOff>3810</xdr:rowOff>
    </xdr:from>
    <xdr:ext cx="60183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C5D56E2-31F9-3682-F5F9-E31B3D63322F}"/>
                </a:ext>
              </a:extLst>
            </xdr:cNvPr>
            <xdr:cNvSpPr txBox="1"/>
          </xdr:nvSpPr>
          <xdr:spPr>
            <a:xfrm>
              <a:off x="6736080" y="12614910"/>
              <a:ext cx="60183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ru-RU" sz="11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ru-RU" sz="1100" i="0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e>
                        </m:d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100" i="0">
                        <a:latin typeface="Cambria Math" panose="02040503050406030204" pitchFamily="18" charset="0"/>
                      </a:rPr>
                      <m:t>⋅</m:t>
                    </m:r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C5D56E2-31F9-3682-F5F9-E31B3D63322F}"/>
                </a:ext>
              </a:extLst>
            </xdr:cNvPr>
            <xdr:cNvSpPr txBox="1"/>
          </xdr:nvSpPr>
          <xdr:spPr>
            <a:xfrm>
              <a:off x="6736080" y="12614910"/>
              <a:ext cx="60183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 )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121920</xdr:colOff>
      <xdr:row>67</xdr:row>
      <xdr:rowOff>3810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79EDA63F-8254-F1AD-A3B2-929E3C928C7A}"/>
                </a:ext>
              </a:extLst>
            </xdr:cNvPr>
            <xdr:cNvSpPr txBox="1"/>
          </xdr:nvSpPr>
          <xdr:spPr>
            <a:xfrm>
              <a:off x="15963900" y="1243203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79EDA63F-8254-F1AD-A3B2-929E3C928C7A}"/>
                </a:ext>
              </a:extLst>
            </xdr:cNvPr>
            <xdr:cNvSpPr txBox="1"/>
          </xdr:nvSpPr>
          <xdr:spPr>
            <a:xfrm>
              <a:off x="15963900" y="1243203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106680</xdr:colOff>
      <xdr:row>68</xdr:row>
      <xdr:rowOff>11430</xdr:rowOff>
    </xdr:from>
    <xdr:ext cx="21550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685D5591-1E00-E2FB-7EFC-AC4762B24206}"/>
                </a:ext>
              </a:extLst>
            </xdr:cNvPr>
            <xdr:cNvSpPr txBox="1"/>
          </xdr:nvSpPr>
          <xdr:spPr>
            <a:xfrm>
              <a:off x="15948660" y="12622530"/>
              <a:ext cx="2155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685D5591-1E00-E2FB-7EFC-AC4762B24206}"/>
                </a:ext>
              </a:extLst>
            </xdr:cNvPr>
            <xdr:cNvSpPr txBox="1"/>
          </xdr:nvSpPr>
          <xdr:spPr>
            <a:xfrm>
              <a:off x="15948660" y="12622530"/>
              <a:ext cx="2155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𝑚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32</xdr:col>
      <xdr:colOff>83820</xdr:colOff>
      <xdr:row>67</xdr:row>
      <xdr:rowOff>19050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02349FD-FB82-5BF8-2793-64C4AEFC1770}"/>
                </a:ext>
              </a:extLst>
            </xdr:cNvPr>
            <xdr:cNvSpPr txBox="1"/>
          </xdr:nvSpPr>
          <xdr:spPr>
            <a:xfrm>
              <a:off x="22661880" y="1245489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02349FD-FB82-5BF8-2793-64C4AEFC1770}"/>
                </a:ext>
              </a:extLst>
            </xdr:cNvPr>
            <xdr:cNvSpPr txBox="1"/>
          </xdr:nvSpPr>
          <xdr:spPr>
            <a:xfrm>
              <a:off x="22661880" y="1245489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22860</xdr:colOff>
      <xdr:row>75</xdr:row>
      <xdr:rowOff>11430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677BDC4-6895-44A0-B73F-42BB7E2BC887}"/>
                </a:ext>
              </a:extLst>
            </xdr:cNvPr>
            <xdr:cNvSpPr txBox="1"/>
          </xdr:nvSpPr>
          <xdr:spPr>
            <a:xfrm>
              <a:off x="7940040" y="1406271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677BDC4-6895-44A0-B73F-42BB7E2BC887}"/>
                </a:ext>
              </a:extLst>
            </xdr:cNvPr>
            <xdr:cNvSpPr txBox="1"/>
          </xdr:nvSpPr>
          <xdr:spPr>
            <a:xfrm>
              <a:off x="7940040" y="1406271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76</xdr:row>
      <xdr:rowOff>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166A44B-7211-42DB-B519-852D1F34A493}"/>
                </a:ext>
              </a:extLst>
            </xdr:cNvPr>
            <xdr:cNvSpPr txBox="1"/>
          </xdr:nvSpPr>
          <xdr:spPr>
            <a:xfrm>
              <a:off x="7917180" y="1423416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166A44B-7211-42DB-B519-852D1F34A493}"/>
                </a:ext>
              </a:extLst>
            </xdr:cNvPr>
            <xdr:cNvSpPr txBox="1"/>
          </xdr:nvSpPr>
          <xdr:spPr>
            <a:xfrm>
              <a:off x="7917180" y="1423416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79</xdr:row>
      <xdr:rowOff>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34633B7-F531-414D-B72F-1E0485C6F087}"/>
                </a:ext>
              </a:extLst>
            </xdr:cNvPr>
            <xdr:cNvSpPr txBox="1"/>
          </xdr:nvSpPr>
          <xdr:spPr>
            <a:xfrm>
              <a:off x="7917180" y="1478280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34633B7-F531-414D-B72F-1E0485C6F087}"/>
                </a:ext>
              </a:extLst>
            </xdr:cNvPr>
            <xdr:cNvSpPr txBox="1"/>
          </xdr:nvSpPr>
          <xdr:spPr>
            <a:xfrm>
              <a:off x="7917180" y="1478280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80</xdr:row>
      <xdr:rowOff>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C8450A6-F8E7-4967-A0B5-932D323F33C5}"/>
                </a:ext>
              </a:extLst>
            </xdr:cNvPr>
            <xdr:cNvSpPr txBox="1"/>
          </xdr:nvSpPr>
          <xdr:spPr>
            <a:xfrm>
              <a:off x="7917180" y="1496568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C8450A6-F8E7-4967-A0B5-932D323F33C5}"/>
                </a:ext>
              </a:extLst>
            </xdr:cNvPr>
            <xdr:cNvSpPr txBox="1"/>
          </xdr:nvSpPr>
          <xdr:spPr>
            <a:xfrm>
              <a:off x="7917180" y="1496568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419100</xdr:colOff>
      <xdr:row>94</xdr:row>
      <xdr:rowOff>15240</xdr:rowOff>
    </xdr:from>
    <xdr:ext cx="1157368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755602B-C40C-2DD6-477A-2183B6A97A37}"/>
                </a:ext>
              </a:extLst>
            </xdr:cNvPr>
            <xdr:cNvSpPr txBox="1"/>
          </xdr:nvSpPr>
          <xdr:spPr>
            <a:xfrm>
              <a:off x="11938747" y="17384358"/>
              <a:ext cx="115736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𝜒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100" i="0">
                        <a:latin typeface="Cambria Math" panose="02040503050406030204" pitchFamily="18" charset="0"/>
                      </a:rPr>
                      <m:t>=24,56&gt;1</m:t>
                    </m:r>
                    <m:r>
                      <a:rPr lang="en-US" sz="1100" b="0" i="0">
                        <a:latin typeface="Cambria Math" panose="02040503050406030204" pitchFamily="18" charset="0"/>
                      </a:rPr>
                      <m:t>4</m:t>
                    </m:r>
                    <m:r>
                      <a:rPr lang="ru-RU" sz="1100" i="0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100" b="0" i="0">
                        <a:latin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755602B-C40C-2DD6-477A-2183B6A97A37}"/>
                </a:ext>
              </a:extLst>
            </xdr:cNvPr>
            <xdr:cNvSpPr txBox="1"/>
          </xdr:nvSpPr>
          <xdr:spPr>
            <a:xfrm>
              <a:off x="11938747" y="17384358"/>
              <a:ext cx="115736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𝜒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2=24,56&gt;1</a:t>
              </a:r>
              <a:r>
                <a:rPr lang="en-US" sz="1100" b="0" i="0">
                  <a:latin typeface="Cambria Math" panose="02040503050406030204" pitchFamily="18" charset="0"/>
                </a:rPr>
                <a:t>4</a:t>
              </a:r>
              <a:r>
                <a:rPr lang="ru-RU" sz="1100" i="0">
                  <a:latin typeface="Cambria Math" panose="02040503050406030204" pitchFamily="18" charset="0"/>
                </a:rPr>
                <a:t>,</a:t>
              </a:r>
              <a:r>
                <a:rPr lang="en-US" sz="1100" b="0" i="0">
                  <a:latin typeface="Cambria Math" panose="02040503050406030204" pitchFamily="18" charset="0"/>
                </a:rPr>
                <a:t>1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87</xdr:row>
      <xdr:rowOff>0</xdr:rowOff>
    </xdr:from>
    <xdr:ext cx="1510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11FFD1A2-36FE-41E7-BD3A-BB3A056B36F8}"/>
                </a:ext>
              </a:extLst>
            </xdr:cNvPr>
            <xdr:cNvSpPr txBox="1"/>
          </xdr:nvSpPr>
          <xdr:spPr>
            <a:xfrm>
              <a:off x="6743700" y="1641348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11FFD1A2-36FE-41E7-BD3A-BB3A056B36F8}"/>
                </a:ext>
              </a:extLst>
            </xdr:cNvPr>
            <xdr:cNvSpPr txBox="1"/>
          </xdr:nvSpPr>
          <xdr:spPr>
            <a:xfrm>
              <a:off x="6743700" y="1641348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88</xdr:row>
      <xdr:rowOff>0</xdr:rowOff>
    </xdr:from>
    <xdr:ext cx="28552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3BA05FF3-C659-4BCF-B612-183A734FC712}"/>
                </a:ext>
              </a:extLst>
            </xdr:cNvPr>
            <xdr:cNvSpPr txBox="1"/>
          </xdr:nvSpPr>
          <xdr:spPr>
            <a:xfrm>
              <a:off x="6743700" y="1659636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3BA05FF3-C659-4BCF-B612-183A734FC712}"/>
                </a:ext>
              </a:extLst>
            </xdr:cNvPr>
            <xdr:cNvSpPr txBox="1"/>
          </xdr:nvSpPr>
          <xdr:spPr>
            <a:xfrm>
              <a:off x="6743700" y="1659636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ru-RU" sz="1100" i="0">
                  <a:latin typeface="Cambria Math" panose="02040503050406030204" pitchFamily="18" charset="0"/>
                </a:rPr>
                <a:t>𝑖+1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89</xdr:row>
      <xdr:rowOff>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4C743E0-DFB6-41FF-951A-43D144605A98}"/>
                </a:ext>
              </a:extLst>
            </xdr:cNvPr>
            <xdr:cNvSpPr txBox="1"/>
          </xdr:nvSpPr>
          <xdr:spPr>
            <a:xfrm>
              <a:off x="6743700" y="1677924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4C743E0-DFB6-41FF-951A-43D144605A98}"/>
                </a:ext>
              </a:extLst>
            </xdr:cNvPr>
            <xdr:cNvSpPr txBox="1"/>
          </xdr:nvSpPr>
          <xdr:spPr>
            <a:xfrm>
              <a:off x="6743700" y="1677924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90</xdr:row>
      <xdr:rowOff>3810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1E88C5CD-356B-127B-17BA-D396CDA6C58E}"/>
                </a:ext>
              </a:extLst>
            </xdr:cNvPr>
            <xdr:cNvSpPr txBox="1"/>
          </xdr:nvSpPr>
          <xdr:spPr>
            <a:xfrm>
              <a:off x="6743700" y="16965930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1E88C5CD-356B-127B-17BA-D396CDA6C58E}"/>
                </a:ext>
              </a:extLst>
            </xdr:cNvPr>
            <xdr:cNvSpPr txBox="1"/>
          </xdr:nvSpPr>
          <xdr:spPr>
            <a:xfrm>
              <a:off x="6743700" y="16965930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30480</xdr:colOff>
      <xdr:row>90</xdr:row>
      <xdr:rowOff>148590</xdr:rowOff>
    </xdr:from>
    <xdr:ext cx="335541" cy="373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255836-FAEB-4C9B-4EA7-C9C2EA02C4A0}"/>
                </a:ext>
              </a:extLst>
            </xdr:cNvPr>
            <xdr:cNvSpPr txBox="1"/>
          </xdr:nvSpPr>
          <xdr:spPr>
            <a:xfrm>
              <a:off x="6774180" y="17110710"/>
              <a:ext cx="335541" cy="373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ru-RU" sz="1100" i="0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255836-FAEB-4C9B-4EA7-C9C2EA02C4A0}"/>
                </a:ext>
              </a:extLst>
            </xdr:cNvPr>
            <xdr:cNvSpPr txBox="1"/>
          </xdr:nvSpPr>
          <xdr:spPr>
            <a:xfrm>
              <a:off x="6774180" y="17110710"/>
              <a:ext cx="335541" cy="373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𝑖^2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)/(</a:t>
              </a:r>
              <a:r>
                <a:rPr lang="ru-RU" sz="1100" i="0">
                  <a:latin typeface="Cambria Math" panose="02040503050406030204" pitchFamily="18" charset="0"/>
                </a:rPr>
                <a:t>𝑛⋅𝑃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 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93</xdr:row>
      <xdr:rowOff>171450</xdr:rowOff>
    </xdr:from>
    <xdr:ext cx="18505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EEC8A76-BCA1-372B-F031-79C1831E12B9}"/>
                </a:ext>
              </a:extLst>
            </xdr:cNvPr>
            <xdr:cNvSpPr txBox="1"/>
          </xdr:nvSpPr>
          <xdr:spPr>
            <a:xfrm>
              <a:off x="6758940" y="17682210"/>
              <a:ext cx="18505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𝜒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EEC8A76-BCA1-372B-F031-79C1831E12B9}"/>
                </a:ext>
              </a:extLst>
            </xdr:cNvPr>
            <xdr:cNvSpPr txBox="1"/>
          </xdr:nvSpPr>
          <xdr:spPr>
            <a:xfrm>
              <a:off x="6758940" y="17682210"/>
              <a:ext cx="18505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𝜒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96</xdr:row>
      <xdr:rowOff>3810</xdr:rowOff>
    </xdr:from>
    <xdr:ext cx="180114" cy="1857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94236B9-B4D1-0DD3-58C9-D9CB51E9C68C}"/>
                </a:ext>
              </a:extLst>
            </xdr:cNvPr>
            <xdr:cNvSpPr txBox="1"/>
          </xdr:nvSpPr>
          <xdr:spPr>
            <a:xfrm>
              <a:off x="6758940" y="18063210"/>
              <a:ext cx="180114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94236B9-B4D1-0DD3-58C9-D9CB51E9C68C}"/>
                </a:ext>
              </a:extLst>
            </xdr:cNvPr>
            <xdr:cNvSpPr txBox="1"/>
          </xdr:nvSpPr>
          <xdr:spPr>
            <a:xfrm>
              <a:off x="6758940" y="18063210"/>
              <a:ext cx="180114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𝑝^2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49</xdr:col>
      <xdr:colOff>62754</xdr:colOff>
      <xdr:row>24</xdr:row>
      <xdr:rowOff>116542</xdr:rowOff>
    </xdr:from>
    <xdr:to>
      <xdr:col>63</xdr:col>
      <xdr:colOff>77546</xdr:colOff>
      <xdr:row>39</xdr:row>
      <xdr:rowOff>103544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1F07B1D-BC66-4E21-AD2D-3FEABF1E3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7515-D468-46A5-AAEA-BB1FCC26AB5D}">
  <sheetPr codeName="Лист1"/>
  <dimension ref="A1:AR106"/>
  <sheetViews>
    <sheetView tabSelected="1" topLeftCell="W18" zoomScale="85" zoomScaleNormal="85" workbookViewId="0">
      <selection activeCell="AU22" sqref="AU22"/>
    </sheetView>
  </sheetViews>
  <sheetFormatPr defaultRowHeight="14.4" x14ac:dyDescent="0.3"/>
  <cols>
    <col min="3" max="3" width="20.44140625" bestFit="1" customWidth="1"/>
    <col min="4" max="4" width="15.44140625" customWidth="1"/>
    <col min="5" max="5" width="9.109375" customWidth="1"/>
    <col min="10" max="10" width="17.109375" customWidth="1"/>
    <col min="18" max="18" width="16.77734375" customWidth="1"/>
    <col min="19" max="19" width="11.44140625" bestFit="1" customWidth="1"/>
    <col min="20" max="20" width="10.44140625" bestFit="1" customWidth="1"/>
    <col min="21" max="22" width="11.44140625" bestFit="1" customWidth="1"/>
    <col min="31" max="31" width="19.21875" customWidth="1"/>
    <col min="44" max="44" width="12.109375" customWidth="1"/>
  </cols>
  <sheetData>
    <row r="1" spans="1:31" x14ac:dyDescent="0.3">
      <c r="A1" t="s">
        <v>2</v>
      </c>
      <c r="B1" s="1">
        <v>18</v>
      </c>
      <c r="C1" s="3">
        <v>19</v>
      </c>
    </row>
    <row r="2" spans="1:31" x14ac:dyDescent="0.3">
      <c r="A2" s="1">
        <v>1.486</v>
      </c>
      <c r="B2" s="1">
        <v>-1.33</v>
      </c>
      <c r="C2" s="1">
        <v>-1.2310000000000001</v>
      </c>
      <c r="D2" s="1">
        <v>-0.38800000000000001</v>
      </c>
      <c r="E2" s="1">
        <v>-0.77800000000000002</v>
      </c>
      <c r="F2" s="1">
        <v>-2.3940000000000001</v>
      </c>
      <c r="G2" s="1">
        <v>-0.65400000000000003</v>
      </c>
      <c r="H2" s="1">
        <v>0.13400000000000001</v>
      </c>
      <c r="I2" s="1">
        <v>1.7629999999999999</v>
      </c>
      <c r="J2" s="1">
        <v>-1.052</v>
      </c>
      <c r="L2" t="s">
        <v>0</v>
      </c>
      <c r="N2" s="7"/>
    </row>
    <row r="3" spans="1:31" x14ac:dyDescent="0.3">
      <c r="A3" s="1">
        <v>-1.772</v>
      </c>
      <c r="B3" s="1">
        <v>0.40300000000000002</v>
      </c>
      <c r="C3" s="1">
        <v>0.69399999999999995</v>
      </c>
      <c r="D3" s="1">
        <v>0.308</v>
      </c>
      <c r="E3" s="1">
        <v>-0.76100000000000001</v>
      </c>
      <c r="F3" s="1">
        <v>-0.39100000000000001</v>
      </c>
      <c r="G3" s="1">
        <v>-0.80300000000000005</v>
      </c>
      <c r="H3" s="1">
        <v>-0.97599999999999998</v>
      </c>
      <c r="I3" s="1">
        <v>1.6970000000000001</v>
      </c>
      <c r="J3" s="1">
        <v>-0.64600000000000002</v>
      </c>
      <c r="N3" s="7"/>
      <c r="V3" s="25">
        <v>-2.6269999999999998</v>
      </c>
      <c r="W3" s="25">
        <v>-2.6230000000000002</v>
      </c>
      <c r="X3" s="25">
        <v>-2.3940000000000001</v>
      </c>
      <c r="Y3" s="25">
        <v>-2.2679999999999998</v>
      </c>
      <c r="Z3" s="25">
        <v>-2.2090000000000001</v>
      </c>
      <c r="AA3" s="25">
        <v>-1.845</v>
      </c>
      <c r="AB3" s="25">
        <v>-1.802</v>
      </c>
      <c r="AC3" s="25">
        <v>-1.772</v>
      </c>
      <c r="AD3" s="25">
        <v>-1.5740000000000001</v>
      </c>
      <c r="AE3" s="25">
        <v>-1.571</v>
      </c>
    </row>
    <row r="4" spans="1:31" x14ac:dyDescent="0.3">
      <c r="A4" s="1">
        <v>-0.873</v>
      </c>
      <c r="B4" s="1">
        <v>1.4390000000000001</v>
      </c>
      <c r="C4" s="1">
        <v>-1.1919999999999999</v>
      </c>
      <c r="D4" s="1">
        <v>0.68100000000000005</v>
      </c>
      <c r="E4" s="1">
        <v>0.56399999999999995</v>
      </c>
      <c r="F4" s="1">
        <v>0.44</v>
      </c>
      <c r="G4" s="1">
        <v>1.3280000000000001</v>
      </c>
      <c r="H4" s="1">
        <v>0.53300000000000003</v>
      </c>
      <c r="I4" s="1">
        <v>-0.151</v>
      </c>
      <c r="J4" s="1">
        <v>-2.2090000000000001</v>
      </c>
      <c r="N4" s="7"/>
      <c r="V4" s="25">
        <v>-1.375</v>
      </c>
      <c r="W4" s="25">
        <v>-1.347</v>
      </c>
      <c r="X4" s="25">
        <v>-1.33</v>
      </c>
      <c r="Y4" s="25">
        <v>-1.2949999999999999</v>
      </c>
      <c r="Z4" s="25">
        <v>-1.2310000000000001</v>
      </c>
      <c r="AA4" s="25">
        <v>-1.2110000000000001</v>
      </c>
      <c r="AB4" s="25">
        <v>-1.1919999999999999</v>
      </c>
      <c r="AC4" s="25">
        <v>-1.085</v>
      </c>
      <c r="AD4" s="25">
        <v>-1.052</v>
      </c>
      <c r="AE4" s="25">
        <v>-0.99399999999999999</v>
      </c>
    </row>
    <row r="5" spans="1:31" x14ac:dyDescent="0.3">
      <c r="A5" s="1">
        <v>-1.5740000000000001</v>
      </c>
      <c r="B5" s="1">
        <v>-0.89200000000000002</v>
      </c>
      <c r="C5" s="1">
        <v>-9.7000000000000003E-2</v>
      </c>
      <c r="D5" s="1">
        <v>-1.347</v>
      </c>
      <c r="E5" s="1">
        <v>-0.60299999999999998</v>
      </c>
      <c r="F5" s="1">
        <v>0.88500000000000001</v>
      </c>
      <c r="G5" s="1">
        <v>-2.6230000000000002</v>
      </c>
      <c r="H5" s="1">
        <v>-0.80900000000000005</v>
      </c>
      <c r="I5" s="1">
        <v>-0.872</v>
      </c>
      <c r="J5" s="1">
        <v>0.40899999999999997</v>
      </c>
      <c r="N5" s="7"/>
      <c r="V5" s="25">
        <v>-0.97599999999999998</v>
      </c>
      <c r="W5" s="25">
        <v>-0.89200000000000002</v>
      </c>
      <c r="X5" s="25">
        <v>-0.873</v>
      </c>
      <c r="Y5" s="25">
        <v>-0.873</v>
      </c>
      <c r="Z5" s="25">
        <v>-0.872</v>
      </c>
      <c r="AA5" s="25">
        <v>-0.871</v>
      </c>
      <c r="AB5" s="25">
        <v>-0.86099999999999999</v>
      </c>
      <c r="AC5" s="25">
        <v>-0.85899999999999999</v>
      </c>
      <c r="AD5" s="25">
        <v>-0.85199999999999998</v>
      </c>
      <c r="AE5" s="25">
        <v>-0.80900000000000005</v>
      </c>
    </row>
    <row r="6" spans="1:31" x14ac:dyDescent="0.3">
      <c r="A6" s="1">
        <v>-0.79500000000000004</v>
      </c>
      <c r="B6" s="1">
        <v>-0.67900000000000005</v>
      </c>
      <c r="C6" s="1">
        <v>-0.871</v>
      </c>
      <c r="D6" s="1">
        <v>-1.085</v>
      </c>
      <c r="E6" s="1">
        <v>-0.873</v>
      </c>
      <c r="F6" s="1">
        <v>0.71099999999999997</v>
      </c>
      <c r="G6" s="1">
        <v>1.2030000000000001</v>
      </c>
      <c r="H6" s="1">
        <v>1.181</v>
      </c>
      <c r="I6" s="1">
        <v>-0.86099999999999999</v>
      </c>
      <c r="J6" s="1">
        <v>0.59799999999999998</v>
      </c>
      <c r="N6" s="7"/>
      <c r="V6" s="25">
        <v>-0.80300000000000005</v>
      </c>
      <c r="W6" s="25">
        <v>-0.79500000000000004</v>
      </c>
      <c r="X6" s="25">
        <v>-0.77800000000000002</v>
      </c>
      <c r="Y6" s="25">
        <v>-0.76400000000000001</v>
      </c>
      <c r="Z6" s="25">
        <v>-0.76100000000000001</v>
      </c>
      <c r="AA6" s="25">
        <v>-0.70799999999999996</v>
      </c>
      <c r="AB6" s="25">
        <v>-0.70299999999999996</v>
      </c>
      <c r="AC6" s="25">
        <v>-0.69899999999999995</v>
      </c>
      <c r="AD6" s="25">
        <v>-0.67900000000000005</v>
      </c>
      <c r="AE6" s="25">
        <v>-0.65400000000000003</v>
      </c>
    </row>
    <row r="7" spans="1:31" x14ac:dyDescent="0.3">
      <c r="A7" s="2">
        <v>-0.20300000000000001</v>
      </c>
      <c r="B7" s="2">
        <v>0.57799999999999996</v>
      </c>
      <c r="C7" s="2">
        <v>-1.2110000000000001</v>
      </c>
      <c r="D7" s="2">
        <v>-1.845</v>
      </c>
      <c r="E7" s="2">
        <v>1.357</v>
      </c>
      <c r="F7" s="2">
        <v>-0.40400000000000003</v>
      </c>
      <c r="G7" s="2">
        <v>1.266</v>
      </c>
      <c r="H7" s="2">
        <v>0.46200000000000002</v>
      </c>
      <c r="I7" s="2">
        <v>-0.85899999999999999</v>
      </c>
      <c r="J7" s="2">
        <v>1.2270000000000001</v>
      </c>
      <c r="V7" s="25">
        <v>-0.64600000000000002</v>
      </c>
      <c r="W7" s="25">
        <v>-0.61899999999999999</v>
      </c>
      <c r="X7" s="25">
        <v>-0.60399999999999998</v>
      </c>
      <c r="Y7" s="25">
        <v>-0.60299999999999998</v>
      </c>
      <c r="Z7" s="25">
        <v>-0.504</v>
      </c>
      <c r="AA7" s="25">
        <v>-0.46700000000000003</v>
      </c>
      <c r="AB7" s="25">
        <v>-0.40400000000000003</v>
      </c>
      <c r="AC7" s="25">
        <v>-0.39100000000000001</v>
      </c>
      <c r="AD7" s="25">
        <v>-0.38800000000000001</v>
      </c>
      <c r="AE7" s="25">
        <v>-0.38300000000000001</v>
      </c>
    </row>
    <row r="8" spans="1:31" x14ac:dyDescent="0.3">
      <c r="A8" s="2">
        <v>-0.85199999999999998</v>
      </c>
      <c r="B8" s="2">
        <v>0.61499999999999999</v>
      </c>
      <c r="C8" s="2">
        <v>-2.6269999999999998</v>
      </c>
      <c r="D8" s="2">
        <v>1.0109999999999999</v>
      </c>
      <c r="E8" s="2">
        <v>-0.504</v>
      </c>
      <c r="F8" s="2">
        <v>-0.38300000000000001</v>
      </c>
      <c r="G8" s="2">
        <v>1.177</v>
      </c>
      <c r="H8" s="2">
        <v>0.94199999999999995</v>
      </c>
      <c r="I8" s="2">
        <v>-2.2679999999999998</v>
      </c>
      <c r="J8" s="2">
        <v>6.9000000000000006E-2</v>
      </c>
      <c r="V8" s="25">
        <v>-0.318</v>
      </c>
      <c r="W8" s="25">
        <v>-0.20300000000000001</v>
      </c>
      <c r="X8" s="25">
        <v>-0.161</v>
      </c>
      <c r="Y8" s="25">
        <v>-0.151</v>
      </c>
      <c r="Z8" s="25">
        <v>-0.1</v>
      </c>
      <c r="AA8" s="25">
        <v>-9.7000000000000003E-2</v>
      </c>
      <c r="AB8" s="25">
        <v>2.1999999999999999E-2</v>
      </c>
      <c r="AC8" s="25">
        <v>2.5999999999999999E-2</v>
      </c>
      <c r="AD8" s="25">
        <v>6.9000000000000006E-2</v>
      </c>
      <c r="AE8" s="25">
        <v>0.128</v>
      </c>
    </row>
    <row r="9" spans="1:31" x14ac:dyDescent="0.3">
      <c r="A9" s="2">
        <v>2.1999999999999999E-2</v>
      </c>
      <c r="B9" s="2">
        <v>-1.2949999999999999</v>
      </c>
      <c r="C9" s="2">
        <v>-1.375</v>
      </c>
      <c r="D9" s="2">
        <v>1.63</v>
      </c>
      <c r="E9" s="2">
        <v>-0.70299999999999996</v>
      </c>
      <c r="F9" s="2">
        <v>0.128</v>
      </c>
      <c r="G9" s="2">
        <v>0.214</v>
      </c>
      <c r="H9" s="2">
        <v>0.41799999999999998</v>
      </c>
      <c r="I9" s="2">
        <v>1.6559999999999999</v>
      </c>
      <c r="J9" s="2">
        <v>-1.571</v>
      </c>
      <c r="V9" s="25">
        <v>0.13400000000000001</v>
      </c>
      <c r="W9" s="25">
        <v>0.214</v>
      </c>
      <c r="X9" s="25">
        <v>0.308</v>
      </c>
      <c r="Y9" s="25">
        <v>0.34399999999999997</v>
      </c>
      <c r="Z9" s="25">
        <v>0.36799999999999999</v>
      </c>
      <c r="AA9" s="25">
        <v>0.40300000000000002</v>
      </c>
      <c r="AB9" s="25">
        <v>0.40899999999999997</v>
      </c>
      <c r="AC9" s="25">
        <v>0.41799999999999998</v>
      </c>
      <c r="AD9" s="25">
        <v>0.44</v>
      </c>
      <c r="AE9" s="25">
        <v>0.46200000000000002</v>
      </c>
    </row>
    <row r="10" spans="1:31" x14ac:dyDescent="0.3">
      <c r="A10" s="2">
        <v>-0.60399999999999998</v>
      </c>
      <c r="B10" s="2">
        <v>0.95199999999999996</v>
      </c>
      <c r="C10" s="2">
        <v>2.5999999999999999E-2</v>
      </c>
      <c r="D10" s="2">
        <v>-0.161</v>
      </c>
      <c r="E10" s="2">
        <v>0.621</v>
      </c>
      <c r="F10" s="2">
        <v>1.093</v>
      </c>
      <c r="G10" s="2">
        <v>-0.46700000000000003</v>
      </c>
      <c r="H10" s="2">
        <v>0.56399999999999995</v>
      </c>
      <c r="I10" s="2">
        <v>-0.99399999999999999</v>
      </c>
      <c r="J10" s="2">
        <v>-1.802</v>
      </c>
      <c r="V10" s="25">
        <v>0.47199999999999998</v>
      </c>
      <c r="W10" s="25">
        <v>0.53300000000000003</v>
      </c>
      <c r="X10" s="25">
        <v>0.56399999999999995</v>
      </c>
      <c r="Y10" s="25">
        <v>0.56399999999999995</v>
      </c>
      <c r="Z10" s="25">
        <v>0.57799999999999996</v>
      </c>
      <c r="AA10" s="25">
        <v>0.59799999999999998</v>
      </c>
      <c r="AB10" s="25">
        <v>0.61499999999999999</v>
      </c>
      <c r="AC10" s="25">
        <v>0.621</v>
      </c>
      <c r="AD10" s="25">
        <v>0.68100000000000005</v>
      </c>
      <c r="AE10" s="25">
        <v>0.69399999999999995</v>
      </c>
    </row>
    <row r="11" spans="1:31" x14ac:dyDescent="0.3">
      <c r="A11" s="2">
        <v>-0.318</v>
      </c>
      <c r="B11" s="2">
        <v>-0.61899999999999999</v>
      </c>
      <c r="C11" s="2">
        <v>-0.70799999999999996</v>
      </c>
      <c r="D11" s="2">
        <v>0.36799999999999999</v>
      </c>
      <c r="E11" s="2">
        <v>-0.1</v>
      </c>
      <c r="F11" s="2">
        <v>0.47199999999999998</v>
      </c>
      <c r="G11" s="2">
        <v>-0.69899999999999995</v>
      </c>
      <c r="H11" s="2">
        <v>-0.76400000000000001</v>
      </c>
      <c r="I11" s="2">
        <v>0.34399999999999997</v>
      </c>
      <c r="J11" s="2">
        <v>1.286</v>
      </c>
      <c r="V11" s="25">
        <v>0.71099999999999997</v>
      </c>
      <c r="W11" s="25">
        <v>0.88500000000000001</v>
      </c>
      <c r="X11" s="25">
        <v>0.94199999999999995</v>
      </c>
      <c r="Y11" s="25">
        <v>0.95199999999999996</v>
      </c>
      <c r="Z11" s="25">
        <v>1.0109999999999999</v>
      </c>
      <c r="AA11" s="25">
        <v>1.093</v>
      </c>
      <c r="AB11" s="25">
        <v>1.177</v>
      </c>
      <c r="AC11" s="25">
        <v>1.181</v>
      </c>
      <c r="AD11" s="25">
        <v>1.2030000000000001</v>
      </c>
      <c r="AE11" s="25">
        <v>1.2270000000000001</v>
      </c>
    </row>
    <row r="12" spans="1:31" x14ac:dyDescent="0.3">
      <c r="V12" s="25">
        <v>1.266</v>
      </c>
      <c r="W12" s="25">
        <v>1.286</v>
      </c>
      <c r="X12" s="25">
        <v>1.3280000000000001</v>
      </c>
      <c r="Y12" s="25">
        <v>1.357</v>
      </c>
      <c r="Z12" s="25">
        <v>1.4390000000000001</v>
      </c>
      <c r="AA12" s="25">
        <v>1.486</v>
      </c>
      <c r="AB12" s="25">
        <v>1.63</v>
      </c>
      <c r="AC12" s="25">
        <v>1.6559999999999999</v>
      </c>
      <c r="AD12" s="25">
        <v>1.6970000000000001</v>
      </c>
      <c r="AE12" s="25">
        <v>1.7629999999999999</v>
      </c>
    </row>
    <row r="13" spans="1:31" ht="25.8" x14ac:dyDescent="0.5">
      <c r="P13" s="20" t="s">
        <v>57</v>
      </c>
    </row>
    <row r="14" spans="1:31" x14ac:dyDescent="0.3">
      <c r="A14" t="s">
        <v>1</v>
      </c>
    </row>
    <row r="15" spans="1:31" x14ac:dyDescent="0.3">
      <c r="A15" s="1">
        <v>-2.6269999999999998</v>
      </c>
      <c r="B15" s="1">
        <v>-2.6230000000000002</v>
      </c>
      <c r="C15" s="1">
        <v>-2.3940000000000001</v>
      </c>
      <c r="D15" s="1">
        <v>-2.2679999999999998</v>
      </c>
      <c r="E15" s="1">
        <v>-2.2090000000000001</v>
      </c>
      <c r="F15" s="1">
        <v>-1.845</v>
      </c>
      <c r="G15" s="1">
        <v>-1.802</v>
      </c>
      <c r="H15" s="1">
        <v>-1.772</v>
      </c>
      <c r="I15" s="1">
        <v>-1.5740000000000001</v>
      </c>
      <c r="J15" s="1">
        <v>-1.571</v>
      </c>
    </row>
    <row r="16" spans="1:31" x14ac:dyDescent="0.3">
      <c r="A16" s="1">
        <v>-1.375</v>
      </c>
      <c r="B16" s="1">
        <v>-1.347</v>
      </c>
      <c r="C16" s="1">
        <v>-1.33</v>
      </c>
      <c r="D16" s="1">
        <v>-1.2949999999999999</v>
      </c>
      <c r="E16" s="1">
        <v>-1.2310000000000001</v>
      </c>
      <c r="F16" s="1">
        <v>-1.2110000000000001</v>
      </c>
      <c r="G16" s="1">
        <v>-1.1919999999999999</v>
      </c>
      <c r="H16" s="1">
        <v>-1.085</v>
      </c>
      <c r="I16" s="1">
        <v>-1.052</v>
      </c>
      <c r="J16" s="1">
        <v>-0.99399999999999999</v>
      </c>
    </row>
    <row r="17" spans="1:44" x14ac:dyDescent="0.3">
      <c r="A17" s="1">
        <v>-0.97599999999999998</v>
      </c>
      <c r="B17" s="1">
        <v>-0.89200000000000002</v>
      </c>
      <c r="C17" s="1">
        <v>-0.873</v>
      </c>
      <c r="D17" s="1">
        <v>-0.873</v>
      </c>
      <c r="E17" s="1">
        <v>-0.872</v>
      </c>
      <c r="F17" s="1">
        <v>-0.871</v>
      </c>
      <c r="G17" s="1">
        <v>-0.86099999999999999</v>
      </c>
      <c r="H17" s="1">
        <v>-0.85899999999999999</v>
      </c>
      <c r="I17" s="1">
        <v>-0.85199999999999998</v>
      </c>
      <c r="J17" s="1">
        <v>-0.80900000000000005</v>
      </c>
    </row>
    <row r="18" spans="1:44" x14ac:dyDescent="0.3">
      <c r="A18" s="1">
        <v>-0.80300000000000005</v>
      </c>
      <c r="B18" s="1">
        <v>-0.79500000000000004</v>
      </c>
      <c r="C18" s="1">
        <v>-0.77800000000000002</v>
      </c>
      <c r="D18" s="1">
        <v>-0.76400000000000001</v>
      </c>
      <c r="E18" s="1">
        <v>-0.76100000000000001</v>
      </c>
      <c r="F18" s="1">
        <v>-0.70799999999999996</v>
      </c>
      <c r="G18" s="1">
        <v>-0.70299999999999996</v>
      </c>
      <c r="H18" s="1">
        <v>-0.69899999999999995</v>
      </c>
      <c r="I18" s="1">
        <v>-0.67900000000000005</v>
      </c>
      <c r="J18" s="1">
        <v>-0.65400000000000003</v>
      </c>
    </row>
    <row r="19" spans="1:44" x14ac:dyDescent="0.3">
      <c r="A19" s="1">
        <v>-0.64600000000000002</v>
      </c>
      <c r="B19" s="1">
        <v>-0.61899999999999999</v>
      </c>
      <c r="C19" s="1">
        <v>-0.60399999999999998</v>
      </c>
      <c r="D19" s="1">
        <v>-0.60299999999999998</v>
      </c>
      <c r="E19" s="1">
        <v>-0.504</v>
      </c>
      <c r="F19" s="1">
        <v>-0.46700000000000003</v>
      </c>
      <c r="G19" s="1">
        <v>-0.40400000000000003</v>
      </c>
      <c r="H19" s="1">
        <v>-0.39100000000000001</v>
      </c>
      <c r="I19" s="1">
        <v>-0.38800000000000001</v>
      </c>
      <c r="J19" s="1">
        <v>-0.38300000000000001</v>
      </c>
    </row>
    <row r="20" spans="1:44" x14ac:dyDescent="0.3">
      <c r="A20" s="2">
        <v>-0.318</v>
      </c>
      <c r="B20" s="2">
        <v>-0.20300000000000001</v>
      </c>
      <c r="C20" s="2">
        <v>-0.161</v>
      </c>
      <c r="D20" s="2">
        <v>-0.151</v>
      </c>
      <c r="E20" s="2">
        <v>-0.1</v>
      </c>
      <c r="F20" s="2">
        <v>-9.7000000000000003E-2</v>
      </c>
      <c r="G20" s="2">
        <v>2.1999999999999999E-2</v>
      </c>
      <c r="H20" s="2">
        <v>2.5999999999999999E-2</v>
      </c>
      <c r="I20" s="2">
        <v>6.9000000000000006E-2</v>
      </c>
      <c r="J20" s="2">
        <v>0.128</v>
      </c>
    </row>
    <row r="21" spans="1:44" x14ac:dyDescent="0.3">
      <c r="A21" s="2">
        <v>0.13400000000000001</v>
      </c>
      <c r="B21" s="2">
        <v>0.214</v>
      </c>
      <c r="C21" s="2">
        <v>0.308</v>
      </c>
      <c r="D21" s="2">
        <v>0.34399999999999997</v>
      </c>
      <c r="E21" s="2">
        <v>0.36799999999999999</v>
      </c>
      <c r="F21" s="2">
        <v>0.40300000000000002</v>
      </c>
      <c r="G21" s="2">
        <v>0.40899999999999997</v>
      </c>
      <c r="H21" s="2">
        <v>0.41799999999999998</v>
      </c>
      <c r="I21" s="2">
        <v>0.44</v>
      </c>
      <c r="J21" s="2">
        <v>0.46200000000000002</v>
      </c>
    </row>
    <row r="22" spans="1:44" x14ac:dyDescent="0.3">
      <c r="A22" s="2">
        <v>0.47199999999999998</v>
      </c>
      <c r="B22" s="2">
        <v>0.53300000000000003</v>
      </c>
      <c r="C22" s="2">
        <v>0.56399999999999995</v>
      </c>
      <c r="D22" s="2">
        <v>0.56399999999999995</v>
      </c>
      <c r="E22" s="2">
        <v>0.57799999999999996</v>
      </c>
      <c r="F22" s="2">
        <v>0.59799999999999998</v>
      </c>
      <c r="G22" s="2">
        <v>0.61499999999999999</v>
      </c>
      <c r="H22" s="2">
        <v>0.621</v>
      </c>
      <c r="I22" s="2">
        <v>0.68100000000000005</v>
      </c>
      <c r="J22" s="2">
        <v>0.69399999999999995</v>
      </c>
    </row>
    <row r="23" spans="1:44" x14ac:dyDescent="0.3">
      <c r="A23" s="2">
        <v>0.71099999999999997</v>
      </c>
      <c r="B23" s="2">
        <v>0.88500000000000001</v>
      </c>
      <c r="C23" s="2">
        <v>0.94199999999999995</v>
      </c>
      <c r="D23" s="2">
        <v>0.95199999999999996</v>
      </c>
      <c r="E23" s="2">
        <v>1.0109999999999999</v>
      </c>
      <c r="F23" s="2">
        <v>1.093</v>
      </c>
      <c r="G23" s="2">
        <v>1.177</v>
      </c>
      <c r="H23" s="2">
        <v>1.181</v>
      </c>
      <c r="I23" s="2">
        <v>1.2030000000000001</v>
      </c>
      <c r="J23" s="2">
        <v>1.2270000000000001</v>
      </c>
    </row>
    <row r="24" spans="1:44" x14ac:dyDescent="0.3">
      <c r="A24" s="2">
        <v>1.266</v>
      </c>
      <c r="B24" s="2">
        <v>1.286</v>
      </c>
      <c r="C24" s="2">
        <v>1.3280000000000001</v>
      </c>
      <c r="D24" s="2">
        <v>1.357</v>
      </c>
      <c r="E24" s="2">
        <v>1.4390000000000001</v>
      </c>
      <c r="F24" s="2">
        <v>1.486</v>
      </c>
      <c r="G24" s="2">
        <v>1.63</v>
      </c>
      <c r="H24" s="2">
        <v>1.6559999999999999</v>
      </c>
      <c r="I24" s="2">
        <v>1.6970000000000001</v>
      </c>
      <c r="J24" s="2">
        <v>1.7629999999999999</v>
      </c>
    </row>
    <row r="25" spans="1:44" x14ac:dyDescent="0.3">
      <c r="N25" t="s">
        <v>9</v>
      </c>
      <c r="AE25" s="25" t="s">
        <v>26</v>
      </c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 t="s">
        <v>41</v>
      </c>
    </row>
    <row r="26" spans="1:44" ht="15" thickBot="1" x14ac:dyDescent="0.35">
      <c r="A26" t="s">
        <v>24</v>
      </c>
      <c r="AE26" s="25" t="s">
        <v>27</v>
      </c>
      <c r="AF26" s="25">
        <v>1</v>
      </c>
      <c r="AG26" s="25">
        <v>2</v>
      </c>
      <c r="AH26" s="25">
        <v>3</v>
      </c>
      <c r="AI26" s="25">
        <v>4</v>
      </c>
      <c r="AJ26" s="25">
        <v>5</v>
      </c>
      <c r="AK26" s="25">
        <v>6</v>
      </c>
      <c r="AL26" s="25">
        <v>7</v>
      </c>
      <c r="AM26" s="25">
        <v>8</v>
      </c>
      <c r="AN26" s="25">
        <v>9</v>
      </c>
      <c r="AO26" s="25">
        <v>10</v>
      </c>
      <c r="AP26" s="25">
        <v>11</v>
      </c>
      <c r="AQ26" s="25">
        <v>12</v>
      </c>
      <c r="AR26" s="25"/>
    </row>
    <row r="27" spans="1:44" x14ac:dyDescent="0.3">
      <c r="A27" t="s">
        <v>6</v>
      </c>
      <c r="B27">
        <f>A15</f>
        <v>-2.6269999999999998</v>
      </c>
      <c r="D27">
        <v>12</v>
      </c>
      <c r="E27" t="s">
        <v>3</v>
      </c>
      <c r="L27" s="8" t="s">
        <v>55</v>
      </c>
      <c r="M27" s="9"/>
      <c r="N27" s="9"/>
      <c r="O27" s="9"/>
      <c r="P27" s="9"/>
      <c r="Q27" s="9"/>
      <c r="R27" s="9"/>
      <c r="S27" s="10"/>
      <c r="V27" s="17"/>
      <c r="W27" s="17"/>
      <c r="X27" s="17"/>
      <c r="Z27" t="s">
        <v>15</v>
      </c>
      <c r="AE27" s="25" t="s">
        <v>28</v>
      </c>
      <c r="AF27" s="25" t="s">
        <v>29</v>
      </c>
      <c r="AG27" s="25" t="s">
        <v>30</v>
      </c>
      <c r="AH27" s="25" t="s">
        <v>31</v>
      </c>
      <c r="AI27" s="25" t="s">
        <v>32</v>
      </c>
      <c r="AJ27" s="25" t="s">
        <v>33</v>
      </c>
      <c r="AK27" s="25" t="s">
        <v>34</v>
      </c>
      <c r="AL27" s="25" t="s">
        <v>35</v>
      </c>
      <c r="AM27" s="25" t="s">
        <v>36</v>
      </c>
      <c r="AN27" s="25" t="s">
        <v>37</v>
      </c>
      <c r="AO27" s="25" t="s">
        <v>38</v>
      </c>
      <c r="AP27" s="25" t="s">
        <v>39</v>
      </c>
      <c r="AQ27" s="25" t="s">
        <v>40</v>
      </c>
      <c r="AR27" s="25"/>
    </row>
    <row r="28" spans="1:44" x14ac:dyDescent="0.3">
      <c r="A28" t="s">
        <v>7</v>
      </c>
      <c r="B28">
        <f>J24</f>
        <v>1.7629999999999999</v>
      </c>
      <c r="D28" t="s">
        <v>25</v>
      </c>
      <c r="E28" s="5">
        <f>(B28-B27)/D27</f>
        <v>0.36583333333333329</v>
      </c>
      <c r="F28" t="s">
        <v>5</v>
      </c>
      <c r="L28" s="11" t="s">
        <v>8</v>
      </c>
      <c r="S28" s="12"/>
      <c r="V28" s="17" t="s">
        <v>11</v>
      </c>
      <c r="W28" s="17"/>
      <c r="X28" s="17"/>
      <c r="Y28" t="s">
        <v>14</v>
      </c>
      <c r="Z28" t="s">
        <v>13</v>
      </c>
      <c r="AE28" s="25"/>
      <c r="AF28" s="26" cm="1">
        <f t="array" ref="AF28:AQ28">TRANSPOSE(P29:P40)</f>
        <v>-2.4170833333333333</v>
      </c>
      <c r="AG28" s="26">
        <v>-2.0512500000000005</v>
      </c>
      <c r="AH28" s="26">
        <v>-1.685416666666667</v>
      </c>
      <c r="AI28" s="26">
        <v>-1.3195833333333338</v>
      </c>
      <c r="AJ28" s="26">
        <v>-0.95375000000000054</v>
      </c>
      <c r="AK28" s="26">
        <v>-0.58791666666666731</v>
      </c>
      <c r="AL28" s="26">
        <v>-0.22208333333333399</v>
      </c>
      <c r="AM28" s="26">
        <v>0.1437499999999993</v>
      </c>
      <c r="AN28" s="26">
        <v>0.50958333333333261</v>
      </c>
      <c r="AO28" s="26">
        <v>0.87541666666666584</v>
      </c>
      <c r="AP28" s="26">
        <v>1.2412499999999991</v>
      </c>
      <c r="AQ28" s="26">
        <v>1.6070833333333323</v>
      </c>
      <c r="AR28" s="25"/>
    </row>
    <row r="29" spans="1:44" x14ac:dyDescent="0.3">
      <c r="L29" s="11">
        <v>1</v>
      </c>
      <c r="N29">
        <v>-2.6</v>
      </c>
      <c r="O29" s="5">
        <f>N29+E28</f>
        <v>-2.2341666666666669</v>
      </c>
      <c r="P29" s="5">
        <f>(N29+O29)/2</f>
        <v>-2.4170833333333333</v>
      </c>
      <c r="Q29">
        <f>COUNTIFS($A$15:$J$24, _xlfn.CONCAT("&gt;=", N29), $A$15:$J$24, _xlfn.CONCAT("&lt;=", O29))</f>
        <v>2</v>
      </c>
      <c r="R29">
        <f>Q29/100</f>
        <v>0.02</v>
      </c>
      <c r="S29" s="16">
        <f>R29/$E$28</f>
        <v>5.4669703872437365E-2</v>
      </c>
      <c r="V29" s="17" t="s">
        <v>12</v>
      </c>
      <c r="W29" s="17"/>
      <c r="X29" s="17"/>
      <c r="Y29">
        <v>-2.6</v>
      </c>
      <c r="Z29">
        <v>0</v>
      </c>
      <c r="AE29" s="25"/>
      <c r="AF29" s="25" cm="1">
        <f t="array" ref="AF29:AQ29">TRANSPOSE(Q29:Q40)</f>
        <v>2</v>
      </c>
      <c r="AG29" s="25">
        <v>1</v>
      </c>
      <c r="AH29" s="25">
        <v>5</v>
      </c>
      <c r="AI29" s="25">
        <v>7</v>
      </c>
      <c r="AJ29" s="25">
        <v>16</v>
      </c>
      <c r="AK29" s="25">
        <v>13</v>
      </c>
      <c r="AL29" s="25">
        <v>10</v>
      </c>
      <c r="AM29" s="25">
        <v>7</v>
      </c>
      <c r="AN29" s="25">
        <v>16</v>
      </c>
      <c r="AO29" s="25">
        <v>6</v>
      </c>
      <c r="AP29" s="25">
        <v>9</v>
      </c>
      <c r="AQ29" s="25">
        <v>8</v>
      </c>
      <c r="AR29" s="25">
        <v>100</v>
      </c>
    </row>
    <row r="30" spans="1:44" x14ac:dyDescent="0.3">
      <c r="D30" t="s">
        <v>4</v>
      </c>
      <c r="F30" s="5">
        <f>D27*E28</f>
        <v>4.3899999999999997</v>
      </c>
      <c r="L30" s="11">
        <v>2</v>
      </c>
      <c r="N30" s="5">
        <f>O29</f>
        <v>-2.2341666666666669</v>
      </c>
      <c r="O30" s="5">
        <f>N30+$E$28</f>
        <v>-1.8683333333333336</v>
      </c>
      <c r="P30" s="5">
        <f t="shared" ref="P30:P40" si="0">(N30+O30)/2</f>
        <v>-2.0512500000000005</v>
      </c>
      <c r="Q30">
        <f>COUNTIFS($A$15:$J$24, _xlfn.CONCAT("&gt;=", N30), $A$15:$J$24, _xlfn.CONCAT("&lt;", O30))</f>
        <v>1</v>
      </c>
      <c r="R30">
        <f t="shared" ref="R30:R40" si="1">Q30/100</f>
        <v>0.01</v>
      </c>
      <c r="S30" s="16">
        <f t="shared" ref="S30:S40" si="2">R30/$E$28</f>
        <v>2.7334851936218683E-2</v>
      </c>
      <c r="V30" s="18" t="s">
        <v>42</v>
      </c>
      <c r="W30" s="17"/>
      <c r="X30" s="19"/>
      <c r="Y30">
        <v>-2.2000000000000002</v>
      </c>
      <c r="Z30">
        <f>Q29/100</f>
        <v>0.02</v>
      </c>
      <c r="AE30" s="25"/>
      <c r="AF30" s="25" cm="1">
        <f t="array" ref="AF30:AQ30">TRANSPOSE(R29:R40)</f>
        <v>0.02</v>
      </c>
      <c r="AG30" s="25">
        <v>0.01</v>
      </c>
      <c r="AH30" s="25">
        <v>0.05</v>
      </c>
      <c r="AI30" s="25">
        <v>7.0000000000000007E-2</v>
      </c>
      <c r="AJ30" s="25">
        <v>0.16</v>
      </c>
      <c r="AK30" s="25">
        <v>0.13</v>
      </c>
      <c r="AL30" s="25">
        <v>0.1</v>
      </c>
      <c r="AM30" s="25">
        <v>7.0000000000000007E-2</v>
      </c>
      <c r="AN30" s="25">
        <v>0.16</v>
      </c>
      <c r="AO30" s="25">
        <v>0.06</v>
      </c>
      <c r="AP30" s="25">
        <v>0.09</v>
      </c>
      <c r="AQ30" s="25">
        <v>0.08</v>
      </c>
      <c r="AR30" s="25">
        <v>1</v>
      </c>
    </row>
    <row r="31" spans="1:44" x14ac:dyDescent="0.3">
      <c r="E31">
        <v>-2.6</v>
      </c>
      <c r="L31" s="11">
        <v>3</v>
      </c>
      <c r="N31" s="5">
        <f t="shared" ref="N31:N40" si="3">O30</f>
        <v>-1.8683333333333336</v>
      </c>
      <c r="O31" s="5">
        <f t="shared" ref="O31:O40" si="4">N31+$E$28</f>
        <v>-1.5025000000000004</v>
      </c>
      <c r="P31" s="5">
        <f t="shared" si="0"/>
        <v>-1.685416666666667</v>
      </c>
      <c r="Q31">
        <f t="shared" ref="Q31:Q39" si="5">COUNTIFS($A$15:$J$24, _xlfn.CONCAT("&gt;=", N31), $A$15:$J$24, _xlfn.CONCAT("&lt;", O31))</f>
        <v>5</v>
      </c>
      <c r="R31">
        <f t="shared" si="1"/>
        <v>0.05</v>
      </c>
      <c r="S31" s="16">
        <f t="shared" si="2"/>
        <v>0.13667425968109342</v>
      </c>
      <c r="V31" s="18" t="s">
        <v>43</v>
      </c>
      <c r="W31" s="17"/>
      <c r="X31" s="19"/>
      <c r="Y31">
        <v>-1.9</v>
      </c>
      <c r="Z31">
        <f>Q30/100+Z30</f>
        <v>0.03</v>
      </c>
    </row>
    <row r="32" spans="1:44" x14ac:dyDescent="0.3">
      <c r="E32" s="6">
        <f>E31+F30</f>
        <v>1.7899999999999996</v>
      </c>
      <c r="L32" s="11">
        <v>4</v>
      </c>
      <c r="N32" s="5">
        <f t="shared" si="3"/>
        <v>-1.5025000000000004</v>
      </c>
      <c r="O32" s="5">
        <f t="shared" si="4"/>
        <v>-1.1366666666666672</v>
      </c>
      <c r="P32" s="5">
        <f t="shared" si="0"/>
        <v>-1.3195833333333338</v>
      </c>
      <c r="Q32">
        <f t="shared" si="5"/>
        <v>7</v>
      </c>
      <c r="R32">
        <f t="shared" si="1"/>
        <v>7.0000000000000007E-2</v>
      </c>
      <c r="S32" s="16">
        <f t="shared" si="2"/>
        <v>0.19134396355353078</v>
      </c>
      <c r="V32" s="18" t="s">
        <v>44</v>
      </c>
      <c r="W32" s="17"/>
      <c r="X32" s="19"/>
      <c r="Y32">
        <v>-1.5</v>
      </c>
      <c r="Z32">
        <f t="shared" ref="Z32:Z41" si="6">Q31/100+Z31</f>
        <v>0.08</v>
      </c>
    </row>
    <row r="33" spans="12:26" x14ac:dyDescent="0.3">
      <c r="L33" s="11">
        <v>5</v>
      </c>
      <c r="N33" s="5">
        <f t="shared" si="3"/>
        <v>-1.1366666666666672</v>
      </c>
      <c r="O33" s="5">
        <f t="shared" si="4"/>
        <v>-0.77083333333333393</v>
      </c>
      <c r="P33" s="5">
        <f t="shared" si="0"/>
        <v>-0.95375000000000054</v>
      </c>
      <c r="Q33">
        <f t="shared" si="5"/>
        <v>16</v>
      </c>
      <c r="R33">
        <f t="shared" si="1"/>
        <v>0.16</v>
      </c>
      <c r="S33" s="16">
        <f t="shared" si="2"/>
        <v>0.43735763097949892</v>
      </c>
      <c r="V33" s="18" t="s">
        <v>45</v>
      </c>
      <c r="W33" s="17"/>
      <c r="X33" s="19"/>
      <c r="Y33">
        <v>-1.1000000000000001</v>
      </c>
      <c r="Z33">
        <f t="shared" si="6"/>
        <v>0.15000000000000002</v>
      </c>
    </row>
    <row r="34" spans="12:26" x14ac:dyDescent="0.3">
      <c r="L34" s="11">
        <v>6</v>
      </c>
      <c r="N34" s="5">
        <f t="shared" si="3"/>
        <v>-0.77083333333333393</v>
      </c>
      <c r="O34" s="5">
        <f t="shared" si="4"/>
        <v>-0.40500000000000064</v>
      </c>
      <c r="P34" s="5">
        <f t="shared" si="0"/>
        <v>-0.58791666666666731</v>
      </c>
      <c r="Q34">
        <f t="shared" si="5"/>
        <v>13</v>
      </c>
      <c r="R34">
        <f t="shared" si="1"/>
        <v>0.13</v>
      </c>
      <c r="S34" s="16">
        <f t="shared" si="2"/>
        <v>0.35535307517084286</v>
      </c>
      <c r="V34" s="18" t="s">
        <v>46</v>
      </c>
      <c r="W34" s="17"/>
      <c r="X34" s="19"/>
      <c r="Y34">
        <v>-0.8</v>
      </c>
      <c r="Z34">
        <f t="shared" si="6"/>
        <v>0.31000000000000005</v>
      </c>
    </row>
    <row r="35" spans="12:26" x14ac:dyDescent="0.3">
      <c r="L35" s="11">
        <v>7</v>
      </c>
      <c r="N35" s="5">
        <f t="shared" si="3"/>
        <v>-0.40500000000000064</v>
      </c>
      <c r="O35" s="5">
        <f t="shared" si="4"/>
        <v>-3.9166666666667349E-2</v>
      </c>
      <c r="P35" s="5">
        <f t="shared" si="0"/>
        <v>-0.22208333333333399</v>
      </c>
      <c r="Q35">
        <f t="shared" si="5"/>
        <v>10</v>
      </c>
      <c r="R35">
        <f t="shared" si="1"/>
        <v>0.1</v>
      </c>
      <c r="S35" s="16">
        <f t="shared" si="2"/>
        <v>0.27334851936218685</v>
      </c>
      <c r="V35" s="18" t="s">
        <v>47</v>
      </c>
      <c r="W35" s="17"/>
      <c r="X35" s="19"/>
      <c r="Y35">
        <v>-0.4</v>
      </c>
      <c r="Z35">
        <f t="shared" si="6"/>
        <v>0.44000000000000006</v>
      </c>
    </row>
    <row r="36" spans="12:26" x14ac:dyDescent="0.3">
      <c r="L36" s="11">
        <v>8</v>
      </c>
      <c r="N36" s="5">
        <f t="shared" si="3"/>
        <v>-3.9166666666667349E-2</v>
      </c>
      <c r="O36" s="5">
        <f>N36+$E$28</f>
        <v>0.32666666666666594</v>
      </c>
      <c r="P36" s="5">
        <f t="shared" si="0"/>
        <v>0.1437499999999993</v>
      </c>
      <c r="Q36">
        <f t="shared" si="5"/>
        <v>7</v>
      </c>
      <c r="R36">
        <f t="shared" si="1"/>
        <v>7.0000000000000007E-2</v>
      </c>
      <c r="S36" s="16">
        <f t="shared" si="2"/>
        <v>0.19134396355353078</v>
      </c>
      <c r="V36" s="18" t="s">
        <v>48</v>
      </c>
      <c r="W36" s="17"/>
      <c r="X36" s="19"/>
      <c r="Y36">
        <v>0</v>
      </c>
      <c r="Z36">
        <f t="shared" si="6"/>
        <v>0.54</v>
      </c>
    </row>
    <row r="37" spans="12:26" x14ac:dyDescent="0.3">
      <c r="L37" s="11">
        <v>9</v>
      </c>
      <c r="N37" s="5">
        <f t="shared" si="3"/>
        <v>0.32666666666666594</v>
      </c>
      <c r="O37" s="5">
        <f t="shared" si="4"/>
        <v>0.69249999999999923</v>
      </c>
      <c r="P37" s="5">
        <f t="shared" si="0"/>
        <v>0.50958333333333261</v>
      </c>
      <c r="Q37">
        <f t="shared" si="5"/>
        <v>16</v>
      </c>
      <c r="R37">
        <f t="shared" si="1"/>
        <v>0.16</v>
      </c>
      <c r="S37" s="16">
        <f t="shared" si="2"/>
        <v>0.43735763097949892</v>
      </c>
      <c r="V37" s="18" t="s">
        <v>49</v>
      </c>
      <c r="W37" s="17"/>
      <c r="X37" s="19"/>
      <c r="Y37">
        <v>0.3</v>
      </c>
      <c r="Z37">
        <f t="shared" si="6"/>
        <v>0.6100000000000001</v>
      </c>
    </row>
    <row r="38" spans="12:26" x14ac:dyDescent="0.3">
      <c r="L38" s="11">
        <v>10</v>
      </c>
      <c r="N38" s="5">
        <f t="shared" si="3"/>
        <v>0.69249999999999923</v>
      </c>
      <c r="O38" s="5">
        <f t="shared" si="4"/>
        <v>1.0583333333333325</v>
      </c>
      <c r="P38" s="5">
        <f t="shared" si="0"/>
        <v>0.87541666666666584</v>
      </c>
      <c r="Q38">
        <f t="shared" si="5"/>
        <v>6</v>
      </c>
      <c r="R38">
        <f t="shared" si="1"/>
        <v>0.06</v>
      </c>
      <c r="S38" s="16">
        <f t="shared" si="2"/>
        <v>0.16400911161731208</v>
      </c>
      <c r="V38" s="18" t="s">
        <v>50</v>
      </c>
      <c r="W38" s="17"/>
      <c r="X38" s="19"/>
      <c r="Y38">
        <v>0.7</v>
      </c>
      <c r="Z38">
        <f t="shared" si="6"/>
        <v>0.77000000000000013</v>
      </c>
    </row>
    <row r="39" spans="12:26" x14ac:dyDescent="0.3">
      <c r="L39" s="11">
        <v>11</v>
      </c>
      <c r="N39" s="5">
        <f t="shared" si="3"/>
        <v>1.0583333333333325</v>
      </c>
      <c r="O39" s="5">
        <f t="shared" si="4"/>
        <v>1.4241666666666657</v>
      </c>
      <c r="P39" s="5">
        <f t="shared" si="0"/>
        <v>1.2412499999999991</v>
      </c>
      <c r="Q39">
        <f t="shared" si="5"/>
        <v>9</v>
      </c>
      <c r="R39">
        <f t="shared" si="1"/>
        <v>0.09</v>
      </c>
      <c r="S39" s="16">
        <f t="shared" si="2"/>
        <v>0.24601366742596814</v>
      </c>
      <c r="V39" s="18" t="s">
        <v>51</v>
      </c>
      <c r="W39" s="17"/>
      <c r="X39" s="19"/>
      <c r="Y39">
        <v>1.1000000000000001</v>
      </c>
      <c r="Z39">
        <f t="shared" si="6"/>
        <v>0.83000000000000007</v>
      </c>
    </row>
    <row r="40" spans="12:26" x14ac:dyDescent="0.3">
      <c r="L40" s="11">
        <v>12</v>
      </c>
      <c r="N40" s="5">
        <f t="shared" si="3"/>
        <v>1.4241666666666657</v>
      </c>
      <c r="O40" s="5">
        <f t="shared" si="4"/>
        <v>1.7899999999999989</v>
      </c>
      <c r="P40" s="5">
        <f t="shared" si="0"/>
        <v>1.6070833333333323</v>
      </c>
      <c r="Q40">
        <v>8</v>
      </c>
      <c r="R40">
        <f t="shared" si="1"/>
        <v>0.08</v>
      </c>
      <c r="S40" s="16">
        <f t="shared" si="2"/>
        <v>0.21867881548974946</v>
      </c>
      <c r="V40" s="18" t="s">
        <v>52</v>
      </c>
      <c r="W40" s="17"/>
      <c r="X40" s="19"/>
      <c r="Y40">
        <v>1.4</v>
      </c>
      <c r="Z40">
        <f t="shared" si="6"/>
        <v>0.92</v>
      </c>
    </row>
    <row r="41" spans="12:26" ht="15" thickBot="1" x14ac:dyDescent="0.35">
      <c r="L41" s="13" t="s">
        <v>10</v>
      </c>
      <c r="M41" s="14"/>
      <c r="N41" s="14"/>
      <c r="O41" s="14"/>
      <c r="P41" s="14"/>
      <c r="Q41" s="14">
        <f>SUM(Q29:Q40)</f>
        <v>100</v>
      </c>
      <c r="R41" s="14">
        <f>SUM(R29:R40)</f>
        <v>1</v>
      </c>
      <c r="S41" s="15"/>
      <c r="V41" s="18" t="s">
        <v>53</v>
      </c>
      <c r="W41" s="17"/>
      <c r="X41" s="19"/>
      <c r="Y41">
        <v>1.8</v>
      </c>
      <c r="Z41">
        <f t="shared" si="6"/>
        <v>1</v>
      </c>
    </row>
    <row r="42" spans="12:26" x14ac:dyDescent="0.3">
      <c r="V42" s="17"/>
      <c r="W42" s="17"/>
      <c r="X42" s="17"/>
    </row>
    <row r="63" spans="10:25" ht="15" thickBot="1" x14ac:dyDescent="0.35">
      <c r="J63" t="s">
        <v>54</v>
      </c>
    </row>
    <row r="64" spans="10:25" x14ac:dyDescent="0.3">
      <c r="J64" s="8" t="s">
        <v>56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10"/>
    </row>
    <row r="65" spans="2:34" x14ac:dyDescent="0.3">
      <c r="J65" s="11" t="s">
        <v>8</v>
      </c>
      <c r="K65">
        <v>1</v>
      </c>
      <c r="L65">
        <v>2</v>
      </c>
      <c r="M65">
        <v>3</v>
      </c>
      <c r="N65">
        <v>4</v>
      </c>
      <c r="O65">
        <v>5</v>
      </c>
      <c r="P65">
        <v>6</v>
      </c>
      <c r="Q65">
        <v>7</v>
      </c>
      <c r="R65">
        <v>8</v>
      </c>
      <c r="S65">
        <v>9</v>
      </c>
      <c r="T65">
        <v>10</v>
      </c>
      <c r="U65">
        <v>11</v>
      </c>
      <c r="V65">
        <v>12</v>
      </c>
      <c r="W65" t="s">
        <v>16</v>
      </c>
      <c r="Y65" s="12"/>
    </row>
    <row r="66" spans="2:34" x14ac:dyDescent="0.3">
      <c r="J66" s="11"/>
      <c r="K66" s="5">
        <f>P29</f>
        <v>-2.4170833333333333</v>
      </c>
      <c r="L66" s="5">
        <f>P30</f>
        <v>-2.0512500000000005</v>
      </c>
      <c r="M66" s="5">
        <f>P31</f>
        <v>-1.685416666666667</v>
      </c>
      <c r="N66" s="5">
        <f>P32</f>
        <v>-1.3195833333333338</v>
      </c>
      <c r="O66" s="5">
        <f>P33</f>
        <v>-0.95375000000000054</v>
      </c>
      <c r="P66" s="5">
        <f>P34</f>
        <v>-0.58791666666666731</v>
      </c>
      <c r="Q66" s="5">
        <f>P35</f>
        <v>-0.22208333333333399</v>
      </c>
      <c r="R66" s="5">
        <f>P36</f>
        <v>0.1437499999999993</v>
      </c>
      <c r="S66" s="5">
        <f>P37</f>
        <v>0.50958333333333261</v>
      </c>
      <c r="T66" s="5">
        <f>P38</f>
        <v>0.87541666666666584</v>
      </c>
      <c r="U66" s="5">
        <f>P39</f>
        <v>1.2412499999999991</v>
      </c>
      <c r="V66" s="5">
        <f>P40</f>
        <v>1.6070833333333323</v>
      </c>
      <c r="Y66" s="12"/>
    </row>
    <row r="67" spans="2:34" x14ac:dyDescent="0.3">
      <c r="J67" s="11"/>
      <c r="K67">
        <f>R29</f>
        <v>0.02</v>
      </c>
      <c r="L67">
        <f>R30</f>
        <v>0.01</v>
      </c>
      <c r="M67">
        <f>R31</f>
        <v>0.05</v>
      </c>
      <c r="N67">
        <f>R32</f>
        <v>7.0000000000000007E-2</v>
      </c>
      <c r="O67">
        <f>R33</f>
        <v>0.16</v>
      </c>
      <c r="P67">
        <f>R34</f>
        <v>0.13</v>
      </c>
      <c r="Q67">
        <f>R35</f>
        <v>0.1</v>
      </c>
      <c r="R67">
        <f>R36</f>
        <v>7.0000000000000007E-2</v>
      </c>
      <c r="S67">
        <f>R37</f>
        <v>0.16</v>
      </c>
      <c r="T67">
        <f>R38</f>
        <v>0.06</v>
      </c>
      <c r="U67">
        <f>R39</f>
        <v>0.09</v>
      </c>
      <c r="V67">
        <f>R40</f>
        <v>0.08</v>
      </c>
      <c r="Y67" s="12"/>
    </row>
    <row r="68" spans="2:34" x14ac:dyDescent="0.3">
      <c r="J68" s="11"/>
      <c r="K68" s="4">
        <f>K66*K67</f>
        <v>-4.8341666666666665E-2</v>
      </c>
      <c r="L68" s="4">
        <f t="shared" ref="L68:V68" si="7">L66*L67</f>
        <v>-2.0512500000000006E-2</v>
      </c>
      <c r="M68" s="4">
        <f t="shared" si="7"/>
        <v>-8.427083333333335E-2</v>
      </c>
      <c r="N68" s="4">
        <f t="shared" si="7"/>
        <v>-9.2370833333333374E-2</v>
      </c>
      <c r="O68" s="4">
        <f t="shared" si="7"/>
        <v>-0.1526000000000001</v>
      </c>
      <c r="P68" s="4">
        <f t="shared" si="7"/>
        <v>-7.6429166666666756E-2</v>
      </c>
      <c r="Q68" s="4">
        <f t="shared" si="7"/>
        <v>-2.2208333333333399E-2</v>
      </c>
      <c r="R68" s="4">
        <f t="shared" si="7"/>
        <v>1.0062499999999952E-2</v>
      </c>
      <c r="S68" s="4">
        <f t="shared" si="7"/>
        <v>8.1533333333333222E-2</v>
      </c>
      <c r="T68" s="4">
        <f t="shared" si="7"/>
        <v>5.2524999999999947E-2</v>
      </c>
      <c r="U68" s="4">
        <f t="shared" si="7"/>
        <v>0.11171249999999991</v>
      </c>
      <c r="V68" s="4">
        <f t="shared" si="7"/>
        <v>0.12856666666666658</v>
      </c>
      <c r="W68" s="21">
        <f>SUM(K68:V68)</f>
        <v>-0.11233333333333401</v>
      </c>
      <c r="Y68" s="12"/>
      <c r="Z68" t="s">
        <v>59</v>
      </c>
      <c r="AE68" t="s">
        <v>60</v>
      </c>
      <c r="AH68" s="4">
        <f>W69-(W68*W68)</f>
        <v>1.039890395833333</v>
      </c>
    </row>
    <row r="69" spans="2:34" ht="15" thickBot="1" x14ac:dyDescent="0.35">
      <c r="J69" s="13"/>
      <c r="K69" s="22">
        <f>K66*K66*K67</f>
        <v>0.11684583680555555</v>
      </c>
      <c r="L69" s="22">
        <f t="shared" ref="L69:V69" si="8">L66*L66*L67</f>
        <v>4.2076265625000019E-2</v>
      </c>
      <c r="M69" s="22">
        <f t="shared" si="8"/>
        <v>0.14203146701388897</v>
      </c>
      <c r="N69" s="22">
        <f t="shared" si="8"/>
        <v>0.12189101215277787</v>
      </c>
      <c r="O69" s="22">
        <f t="shared" si="8"/>
        <v>0.14554225000000018</v>
      </c>
      <c r="P69" s="22">
        <f t="shared" si="8"/>
        <v>4.4933980902777879E-2</v>
      </c>
      <c r="Q69" s="22">
        <f t="shared" si="8"/>
        <v>4.9321006944444742E-3</v>
      </c>
      <c r="R69" s="22">
        <f t="shared" si="8"/>
        <v>1.446484374999986E-3</v>
      </c>
      <c r="S69" s="22">
        <f>S66*S66*S67</f>
        <v>4.1548027777777656E-2</v>
      </c>
      <c r="T69" s="22">
        <f t="shared" si="8"/>
        <v>4.5981260416666579E-2</v>
      </c>
      <c r="U69" s="22">
        <f t="shared" si="8"/>
        <v>0.13866314062499979</v>
      </c>
      <c r="V69" s="22">
        <f t="shared" si="8"/>
        <v>0.20661734722222197</v>
      </c>
      <c r="W69" s="22">
        <f>SUM(K69:V69)</f>
        <v>1.052509173611111</v>
      </c>
      <c r="X69" s="14"/>
      <c r="Y69" s="15"/>
    </row>
    <row r="72" spans="2:34" ht="25.8" x14ac:dyDescent="0.5">
      <c r="B72" s="30"/>
      <c r="C72" s="30"/>
      <c r="D72" s="30"/>
      <c r="Q72" s="20" t="s">
        <v>58</v>
      </c>
    </row>
    <row r="73" spans="2:34" x14ac:dyDescent="0.3">
      <c r="Q73" t="s">
        <v>61</v>
      </c>
    </row>
    <row r="74" spans="2:34" ht="15" thickBot="1" x14ac:dyDescent="0.35"/>
    <row r="75" spans="2:34" x14ac:dyDescent="0.3">
      <c r="J75" s="28" t="s">
        <v>62</v>
      </c>
      <c r="K75" s="29"/>
      <c r="L75" s="29"/>
      <c r="M75" s="9">
        <v>0.95</v>
      </c>
      <c r="N75" s="9"/>
      <c r="O75" s="9" t="s">
        <v>18</v>
      </c>
      <c r="P75" s="9">
        <v>1.95</v>
      </c>
      <c r="Q75" s="9"/>
      <c r="R75" s="9" t="s">
        <v>19</v>
      </c>
      <c r="S75" s="9">
        <v>0.97499999999999998</v>
      </c>
      <c r="T75" s="23" t="s">
        <v>63</v>
      </c>
      <c r="U75" s="9" t="s">
        <v>18</v>
      </c>
      <c r="V75" s="9">
        <v>1.95</v>
      </c>
      <c r="W75" s="10"/>
    </row>
    <row r="76" spans="2:34" x14ac:dyDescent="0.3">
      <c r="J76" s="11"/>
      <c r="L76" s="21">
        <f>W68</f>
        <v>-0.11233333333333401</v>
      </c>
      <c r="W76" s="12"/>
    </row>
    <row r="77" spans="2:34" x14ac:dyDescent="0.3">
      <c r="J77" s="11"/>
      <c r="L77" s="4">
        <f>W69-L76*L76</f>
        <v>1.039890395833333</v>
      </c>
      <c r="W77" s="12"/>
    </row>
    <row r="78" spans="2:34" x14ac:dyDescent="0.3">
      <c r="J78" s="11"/>
      <c r="W78" s="12"/>
    </row>
    <row r="79" spans="2:34" x14ac:dyDescent="0.3">
      <c r="J79" s="11"/>
      <c r="K79" t="s">
        <v>17</v>
      </c>
      <c r="Q79" t="s">
        <v>20</v>
      </c>
      <c r="W79" s="12"/>
    </row>
    <row r="80" spans="2:34" x14ac:dyDescent="0.3">
      <c r="J80" s="11"/>
      <c r="L80" s="4">
        <f>L76</f>
        <v>-0.11233333333333401</v>
      </c>
      <c r="Q80" t="s">
        <v>21</v>
      </c>
      <c r="S80" s="21">
        <f>L76-V75*(SQRT(L81)/10)</f>
        <v>-0.31118461520388796</v>
      </c>
      <c r="W80" s="12"/>
    </row>
    <row r="81" spans="2:23" x14ac:dyDescent="0.3">
      <c r="J81" s="11"/>
      <c r="L81" s="4">
        <f>L77</f>
        <v>1.039890395833333</v>
      </c>
      <c r="Q81" t="s">
        <v>22</v>
      </c>
      <c r="S81" s="21">
        <f>L76+V75*(SQRT(L81)/10)</f>
        <v>8.6517948537219919E-2</v>
      </c>
      <c r="W81" s="12"/>
    </row>
    <row r="82" spans="2:23" ht="15" thickBot="1" x14ac:dyDescent="0.35">
      <c r="J82" s="13"/>
      <c r="K82" s="14" t="s">
        <v>69</v>
      </c>
      <c r="L82" s="22">
        <f>SQRT(L81)</f>
        <v>1.019750163438738</v>
      </c>
      <c r="M82" s="14"/>
      <c r="N82" s="14"/>
      <c r="O82" s="14"/>
      <c r="P82" s="14"/>
      <c r="Q82" s="14" t="s">
        <v>64</v>
      </c>
      <c r="R82" s="14"/>
      <c r="S82" s="14"/>
      <c r="T82" s="14"/>
      <c r="U82" s="14"/>
      <c r="V82" s="14"/>
      <c r="W82" s="15"/>
    </row>
    <row r="85" spans="2:23" ht="25.8" x14ac:dyDescent="0.5">
      <c r="B85" s="30"/>
      <c r="C85" s="30"/>
      <c r="D85" s="30"/>
      <c r="Q85" s="20" t="s">
        <v>65</v>
      </c>
    </row>
    <row r="86" spans="2:23" x14ac:dyDescent="0.3">
      <c r="Q86" t="s">
        <v>66</v>
      </c>
    </row>
    <row r="87" spans="2:23" ht="15" thickBot="1" x14ac:dyDescent="0.35"/>
    <row r="88" spans="2:23" x14ac:dyDescent="0.3">
      <c r="J88" s="8"/>
      <c r="K88" s="9">
        <f>N29</f>
        <v>-2.6</v>
      </c>
      <c r="L88" s="24">
        <v>-1.5</v>
      </c>
      <c r="M88" s="24">
        <f>N33</f>
        <v>-1.1366666666666672</v>
      </c>
      <c r="N88" s="24">
        <f>N34</f>
        <v>-0.77083333333333393</v>
      </c>
      <c r="O88" s="24">
        <f>N35</f>
        <v>-0.40500000000000064</v>
      </c>
      <c r="P88" s="24">
        <f>N36</f>
        <v>-3.9166666666667349E-2</v>
      </c>
      <c r="Q88" s="24">
        <f>N37</f>
        <v>0.32666666666666594</v>
      </c>
      <c r="R88" s="24">
        <f>N38</f>
        <v>0.69249999999999923</v>
      </c>
      <c r="S88" s="24">
        <f>N39</f>
        <v>1.0583333333333325</v>
      </c>
      <c r="T88" s="24">
        <f>N40</f>
        <v>1.4241666666666657</v>
      </c>
      <c r="U88" s="24"/>
      <c r="V88" s="24"/>
      <c r="W88" s="10"/>
    </row>
    <row r="89" spans="2:23" x14ac:dyDescent="0.3">
      <c r="J89" s="11"/>
      <c r="K89" s="5">
        <v>-1.5</v>
      </c>
      <c r="L89" s="5">
        <f>O32</f>
        <v>-1.1366666666666672</v>
      </c>
      <c r="M89" s="5">
        <f>O33</f>
        <v>-0.77083333333333393</v>
      </c>
      <c r="N89" s="5">
        <f>O34</f>
        <v>-0.40500000000000064</v>
      </c>
      <c r="O89" s="5">
        <f>O35</f>
        <v>-3.9166666666667349E-2</v>
      </c>
      <c r="P89" s="5">
        <f>O36</f>
        <v>0.32666666666666594</v>
      </c>
      <c r="Q89" s="5">
        <f>O37</f>
        <v>0.69249999999999923</v>
      </c>
      <c r="R89" s="5">
        <f>O38</f>
        <v>1.0583333333333325</v>
      </c>
      <c r="S89" s="5">
        <f>O39</f>
        <v>1.4241666666666657</v>
      </c>
      <c r="T89" s="5">
        <f>O40</f>
        <v>1.7899999999999989</v>
      </c>
      <c r="U89" s="5"/>
      <c r="V89" s="5"/>
      <c r="W89" s="12"/>
    </row>
    <row r="90" spans="2:23" x14ac:dyDescent="0.3">
      <c r="J90" s="11"/>
      <c r="K90">
        <v>8</v>
      </c>
      <c r="L90">
        <v>7</v>
      </c>
      <c r="M90">
        <f>Q33</f>
        <v>16</v>
      </c>
      <c r="N90">
        <f>Q34</f>
        <v>13</v>
      </c>
      <c r="O90">
        <f>Q35</f>
        <v>10</v>
      </c>
      <c r="P90">
        <f>Q36</f>
        <v>7</v>
      </c>
      <c r="Q90">
        <f>Q37</f>
        <v>16</v>
      </c>
      <c r="R90">
        <f>Q38</f>
        <v>6</v>
      </c>
      <c r="S90">
        <f>Q39</f>
        <v>9</v>
      </c>
      <c r="T90">
        <f>Q40</f>
        <v>8</v>
      </c>
      <c r="W90" s="12"/>
    </row>
    <row r="91" spans="2:23" x14ac:dyDescent="0.3">
      <c r="J91" s="11"/>
      <c r="K91" s="4">
        <f>_xlfn.NORM.DIST(K89, AVERAGE($A$2:$J$11), SQRT(_xlfn.VAR.P($A$2:$J$11)), TRUE) - _xlfn.NORM.DIST(K88, AVERAGE($A$2:$J$11), SQRT(_xlfn.VAR.P($A$2:$J$11)), TRUE)</f>
        <v>9.6061721546806214E-2</v>
      </c>
      <c r="L91" s="4">
        <f t="shared" ref="L91:T91" si="9">_xlfn.NORM.DIST(L89, AVERAGE($A$2:$J$11), SQRT(_xlfn.VAR.P($A$2:$J$11)), TRUE) - _xlfn.NORM.DIST(L88, AVERAGE($A$2:$J$11), SQRT(_xlfn.VAR.P($A$2:$J$11)), TRUE)</f>
        <v>7.8274180453563824E-2</v>
      </c>
      <c r="M91" s="4">
        <f t="shared" si="9"/>
        <v>0.10732146273444246</v>
      </c>
      <c r="N91" s="4">
        <f t="shared" si="9"/>
        <v>0.12964550537556441</v>
      </c>
      <c r="O91" s="4">
        <f t="shared" si="9"/>
        <v>0.13876022873835747</v>
      </c>
      <c r="P91" s="4">
        <f t="shared" si="9"/>
        <v>0.13158599166418694</v>
      </c>
      <c r="Q91" s="4">
        <f t="shared" si="9"/>
        <v>0.11055822734648346</v>
      </c>
      <c r="R91" s="4">
        <f t="shared" si="9"/>
        <v>8.2301563869948802E-2</v>
      </c>
      <c r="S91" s="4">
        <f t="shared" si="9"/>
        <v>5.4282368121661206E-2</v>
      </c>
      <c r="T91" s="4">
        <f t="shared" si="9"/>
        <v>3.1720531285350795E-2</v>
      </c>
      <c r="U91" s="4"/>
      <c r="V91" s="4"/>
      <c r="W91" s="12"/>
    </row>
    <row r="92" spans="2:23" x14ac:dyDescent="0.3">
      <c r="J92" s="11"/>
      <c r="K92" s="4">
        <f>(K90^2)/($Q$41*K91)</f>
        <v>6.6623832021182245</v>
      </c>
      <c r="L92" s="4">
        <f t="shared" ref="L92:T92" si="10">(L90^2)/($Q$41*L91)</f>
        <v>6.2600463800536703</v>
      </c>
      <c r="M92" s="4">
        <f t="shared" si="10"/>
        <v>23.853569777878405</v>
      </c>
      <c r="N92" s="4">
        <f t="shared" si="10"/>
        <v>13.035546393253762</v>
      </c>
      <c r="O92" s="4">
        <f t="shared" si="10"/>
        <v>7.2066759264686198</v>
      </c>
      <c r="P92" s="4">
        <f t="shared" si="10"/>
        <v>3.7238006401965711</v>
      </c>
      <c r="Q92" s="4">
        <f t="shared" si="10"/>
        <v>23.155219303373048</v>
      </c>
      <c r="R92" s="4">
        <f t="shared" si="10"/>
        <v>4.3741574652076407</v>
      </c>
      <c r="S92" s="4">
        <f t="shared" si="10"/>
        <v>14.921972419931548</v>
      </c>
      <c r="T92" s="4">
        <f t="shared" si="10"/>
        <v>20.176206830922954</v>
      </c>
      <c r="U92" s="4"/>
      <c r="V92" s="4"/>
      <c r="W92" s="12"/>
    </row>
    <row r="93" spans="2:23" x14ac:dyDescent="0.3">
      <c r="J93" s="11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12"/>
    </row>
    <row r="94" spans="2:23" x14ac:dyDescent="0.3">
      <c r="J94" s="11"/>
      <c r="W94" s="12"/>
    </row>
    <row r="95" spans="2:23" x14ac:dyDescent="0.3">
      <c r="G95" s="4"/>
      <c r="J95" s="11"/>
      <c r="K95" s="5">
        <f>SUM(K92:V92)-Q41</f>
        <v>23.369578339404441</v>
      </c>
      <c r="L95" s="4"/>
      <c r="N95" t="s">
        <v>67</v>
      </c>
      <c r="S95" t="s">
        <v>68</v>
      </c>
      <c r="W95" s="12"/>
    </row>
    <row r="96" spans="2:23" x14ac:dyDescent="0.3">
      <c r="J96" s="11" t="s">
        <v>23</v>
      </c>
      <c r="K96">
        <f>COUNT(K88:T88) - 3</f>
        <v>7</v>
      </c>
      <c r="W96" s="12"/>
    </row>
    <row r="97" spans="3:23" ht="15" thickBot="1" x14ac:dyDescent="0.35">
      <c r="J97" s="13"/>
      <c r="K97" s="27">
        <f>_xlfn.CHISQ.INV.RT(0.05, K96)</f>
        <v>14.067140449340167</v>
      </c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5"/>
    </row>
    <row r="98" spans="3:23" x14ac:dyDescent="0.3">
      <c r="K98" s="4"/>
      <c r="L98" s="4"/>
      <c r="M98" s="4"/>
      <c r="N98" s="4"/>
      <c r="O98" s="4"/>
      <c r="P98" s="4"/>
      <c r="Q98" s="4"/>
      <c r="R98" s="4"/>
      <c r="S98" s="4"/>
      <c r="T98" s="4"/>
    </row>
    <row r="99" spans="3:23" x14ac:dyDescent="0.3">
      <c r="C99" s="5"/>
      <c r="D99" s="5"/>
      <c r="K99" s="4"/>
      <c r="L99" s="4"/>
      <c r="M99" s="4"/>
      <c r="N99" s="4"/>
      <c r="O99" s="4"/>
      <c r="P99" s="4"/>
      <c r="Q99" s="4"/>
      <c r="R99" s="4"/>
      <c r="S99" s="4"/>
      <c r="T99" s="4"/>
    </row>
    <row r="100" spans="3:23" x14ac:dyDescent="0.3">
      <c r="C100" s="5"/>
      <c r="D100" s="5"/>
      <c r="K100" s="4"/>
      <c r="L100" s="4"/>
      <c r="M100" s="4"/>
      <c r="N100" s="4"/>
      <c r="O100" s="4"/>
      <c r="P100" s="4"/>
      <c r="Q100" s="4"/>
      <c r="R100" s="4"/>
      <c r="S100" s="4"/>
      <c r="T100" s="4"/>
    </row>
    <row r="101" spans="3:23" x14ac:dyDescent="0.3">
      <c r="C101" s="5"/>
      <c r="D101" s="5"/>
      <c r="K101" s="4"/>
      <c r="L101" s="4"/>
      <c r="M101" s="4"/>
      <c r="N101" s="4"/>
      <c r="O101" s="4"/>
      <c r="P101" s="4"/>
      <c r="Q101" s="4"/>
      <c r="R101" s="4"/>
      <c r="S101" s="4"/>
      <c r="T101" s="4"/>
    </row>
    <row r="102" spans="3:23" x14ac:dyDescent="0.3">
      <c r="C102" s="5"/>
      <c r="D102" s="5"/>
      <c r="K102" s="4"/>
      <c r="L102" s="4"/>
      <c r="M102" s="4"/>
      <c r="N102" s="4"/>
      <c r="O102" s="4"/>
      <c r="P102" s="4"/>
      <c r="Q102" s="4"/>
      <c r="R102" s="4"/>
      <c r="S102" s="4"/>
      <c r="T102" s="4"/>
    </row>
    <row r="103" spans="3:23" x14ac:dyDescent="0.3">
      <c r="C103" s="5"/>
      <c r="D103" s="5"/>
    </row>
    <row r="104" spans="3:23" x14ac:dyDescent="0.3">
      <c r="C104" s="5"/>
      <c r="D104" s="5"/>
    </row>
    <row r="105" spans="3:23" x14ac:dyDescent="0.3">
      <c r="C105" s="5"/>
      <c r="D105" s="5"/>
    </row>
    <row r="106" spans="3:23" x14ac:dyDescent="0.3">
      <c r="C106" s="5"/>
      <c r="D106" s="5"/>
    </row>
  </sheetData>
  <mergeCells count="3">
    <mergeCell ref="J75:L75"/>
    <mergeCell ref="B85:D85"/>
    <mergeCell ref="B72:D7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Григорий Раевский</dc:creator>
  <cp:lastModifiedBy>Григорий Раевский</cp:lastModifiedBy>
  <dcterms:created xsi:type="dcterms:W3CDTF">2024-02-18T10:54:40Z</dcterms:created>
  <dcterms:modified xsi:type="dcterms:W3CDTF">2024-04-03T19:55:02Z</dcterms:modified>
</cp:coreProperties>
</file>