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raev\OneDrive\Рабочий стол\ITMO\2COURSE\2SEM\MathStat\labs\"/>
    </mc:Choice>
  </mc:AlternateContent>
  <xr:revisionPtr revIDLastSave="0" documentId="13_ncr:1_{7B7D2C34-55E1-4867-A1C6-CF1C10029463}" xr6:coauthVersionLast="47" xr6:coauthVersionMax="47" xr10:uidLastSave="{00000000-0000-0000-0000-000000000000}"/>
  <bookViews>
    <workbookView xWindow="-108" yWindow="-108" windowWidth="41496" windowHeight="16776" xr2:uid="{1D0E994C-E4D1-4BED-A763-82A8FEDEF019}"/>
  </bookViews>
  <sheets>
    <sheet name="Лист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0" i="1" l="1"/>
  <c r="S31" i="1"/>
  <c r="S32" i="1"/>
  <c r="S33" i="1"/>
  <c r="S34" i="1"/>
  <c r="S35" i="1"/>
  <c r="S36" i="1"/>
  <c r="S37" i="1"/>
  <c r="S38" i="1"/>
  <c r="S39" i="1"/>
  <c r="S40" i="1"/>
  <c r="S29" i="1"/>
  <c r="R41" i="1"/>
  <c r="R30" i="1"/>
  <c r="R31" i="1"/>
  <c r="R32" i="1"/>
  <c r="R33" i="1"/>
  <c r="R34" i="1"/>
  <c r="R35" i="1"/>
  <c r="R36" i="1"/>
  <c r="R37" i="1"/>
  <c r="R38" i="1"/>
  <c r="R39" i="1"/>
  <c r="R40" i="1"/>
  <c r="R29" i="1"/>
  <c r="Q41" i="1"/>
  <c r="P30" i="1"/>
  <c r="P31" i="1"/>
  <c r="P32" i="1"/>
  <c r="P33" i="1"/>
  <c r="P34" i="1"/>
  <c r="P35" i="1"/>
  <c r="P36" i="1"/>
  <c r="P37" i="1"/>
  <c r="P38" i="1"/>
  <c r="P39" i="1"/>
  <c r="P40" i="1"/>
  <c r="P29" i="1"/>
  <c r="N31" i="1"/>
  <c r="N30" i="1"/>
  <c r="O30" i="1"/>
  <c r="O29" i="1"/>
  <c r="E32" i="1"/>
  <c r="F30" i="1"/>
  <c r="E28" i="1"/>
  <c r="O31" i="1" l="1"/>
  <c r="N32" i="1" s="1"/>
  <c r="O32" i="1" l="1"/>
  <c r="N33" i="1" s="1"/>
  <c r="O33" i="1" l="1"/>
  <c r="N34" i="1" l="1"/>
  <c r="O34" i="1" s="1"/>
  <c r="N35" i="1" s="1"/>
  <c r="O35" i="1" s="1"/>
  <c r="N36" i="1" s="1"/>
  <c r="O36" i="1" l="1"/>
  <c r="N37" i="1" s="1"/>
  <c r="O37" i="1" l="1"/>
  <c r="N38" i="1" s="1"/>
  <c r="O38" i="1" l="1"/>
  <c r="N39" i="1" s="1"/>
  <c r="O39" i="1" l="1"/>
  <c r="N40" i="1" s="1"/>
  <c r="O40" i="1" l="1"/>
</calcChain>
</file>

<file path=xl/sharedStrings.xml><?xml version="1.0" encoding="utf-8"?>
<sst xmlns="http://schemas.openxmlformats.org/spreadsheetml/2006/main" count="35" uniqueCount="35">
  <si>
    <t>n=100</t>
  </si>
  <si>
    <t>Отсортированные данные</t>
  </si>
  <si>
    <t>Вар</t>
  </si>
  <si>
    <t>интервалов</t>
  </si>
  <si>
    <t>шаг</t>
  </si>
  <si>
    <t>длина отрезка</t>
  </si>
  <si>
    <t>округление до дес</t>
  </si>
  <si>
    <t>\over{a}</t>
  </si>
  <si>
    <t>\over{b}</t>
  </si>
  <si>
    <t>a</t>
  </si>
  <si>
    <t>b</t>
  </si>
  <si>
    <t>Интервальный ряд</t>
  </si>
  <si>
    <t>Номер интервала</t>
  </si>
  <si>
    <t>x_i</t>
  </si>
  <si>
    <t>x_i+1</t>
  </si>
  <si>
    <t>x*_i</t>
  </si>
  <si>
    <t>n_i</t>
  </si>
  <si>
    <t>p*_i</t>
  </si>
  <si>
    <t>Числа, совпадающие с границами частичных интервалом, относим к левому интервалу</t>
  </si>
  <si>
    <t>сумм</t>
  </si>
  <si>
    <t>p*_i/h</t>
  </si>
  <si>
    <t>Гистограмма</t>
  </si>
  <si>
    <t>Данные для гистрограммы</t>
  </si>
  <si>
    <t>-2,0-(-1,6)</t>
  </si>
  <si>
    <t>-2,3-(-2,0)</t>
  </si>
  <si>
    <t>-2,7-(-2,3)</t>
  </si>
  <si>
    <t>-1,6-(-1,2)</t>
  </si>
  <si>
    <t>-1,2-(-0,9)</t>
  </si>
  <si>
    <t>-0,9-(-0,5)</t>
  </si>
  <si>
    <t>-0,5-(-0,1)</t>
  </si>
  <si>
    <t>-0,1-0,2</t>
  </si>
  <si>
    <t>0,2-0,6</t>
  </si>
  <si>
    <t>0,6-1,0</t>
  </si>
  <si>
    <t>1,0-1,3</t>
  </si>
  <si>
    <t>1,3-1,7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</si>
</sst>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"/>
  </numFmts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2" fontId="0" fillId="0" borderId="0" xfId="0" applyNumberFormat="1" applyFill="1"/>
    <xf numFmtId="169" fontId="0" fillId="0" borderId="0" xfId="0" applyNumberFormat="1" applyFill="1"/>
    <xf numFmtId="169" fontId="0" fillId="0" borderId="0" xfId="0" applyNumberFormat="1" applyFill="1" applyAlignment="1">
      <alignment horizontal="right"/>
    </xf>
    <xf numFmtId="0" fontId="0" fillId="0" borderId="0" xfId="0" quotePrefix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Лист1!$V$30:$V$41</c:f>
              <c:strCache>
                <c:ptCount val="12"/>
                <c:pt idx="0">
                  <c:v>-2,7-(-2,3)</c:v>
                </c:pt>
                <c:pt idx="1">
                  <c:v>-2,3-(-2,0)</c:v>
                </c:pt>
                <c:pt idx="2">
                  <c:v>-2,0-(-1,6)</c:v>
                </c:pt>
                <c:pt idx="3">
                  <c:v>-1,6-(-1,2)</c:v>
                </c:pt>
                <c:pt idx="4">
                  <c:v>-1,2-(-0,9)</c:v>
                </c:pt>
                <c:pt idx="5">
                  <c:v>-0,9-(-0,5)</c:v>
                </c:pt>
                <c:pt idx="6">
                  <c:v>-0,5-(-0,1)</c:v>
                </c:pt>
                <c:pt idx="7">
                  <c:v>-0,1-0,2</c:v>
                </c:pt>
                <c:pt idx="8">
                  <c:v>0,2-0,6</c:v>
                </c:pt>
                <c:pt idx="9">
                  <c:v>0,6-1,0</c:v>
                </c:pt>
                <c:pt idx="10">
                  <c:v>1,0-1,3</c:v>
                </c:pt>
                <c:pt idx="11">
                  <c:v>1,3-1,7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8.2004555808656038E-2</c:v>
                </c:pt>
                <c:pt idx="1">
                  <c:v>5.4669703872437365E-2</c:v>
                </c:pt>
                <c:pt idx="2">
                  <c:v>8.2004555808656038E-2</c:v>
                </c:pt>
                <c:pt idx="3">
                  <c:v>0.21867881548974946</c:v>
                </c:pt>
                <c:pt idx="4">
                  <c:v>0.16400911161731208</c:v>
                </c:pt>
                <c:pt idx="5">
                  <c:v>0.6560364464692483</c:v>
                </c:pt>
                <c:pt idx="6">
                  <c:v>0.27334851936218685</c:v>
                </c:pt>
                <c:pt idx="7">
                  <c:v>0.16400911161731208</c:v>
                </c:pt>
                <c:pt idx="8">
                  <c:v>0.41002277904328022</c:v>
                </c:pt>
                <c:pt idx="9">
                  <c:v>0.19134396355353078</c:v>
                </c:pt>
                <c:pt idx="10">
                  <c:v>0.21867881548974946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137160</xdr:colOff>
      <xdr:row>41</xdr:row>
      <xdr:rowOff>99060</xdr:rowOff>
    </xdr:from>
    <xdr:to>
      <xdr:col>26</xdr:col>
      <xdr:colOff>425824</xdr:colOff>
      <xdr:row>56</xdr:row>
      <xdr:rowOff>45272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raev\OneDrive\&#1056;&#1072;&#1073;&#1086;&#1095;&#1080;&#1081;%20&#1089;&#1090;&#1086;&#1083;\ITMO\2COURSE\1SEM\TeorVer\IDZ19.1_var13.xlsx" TargetMode="External"/><Relationship Id="rId1" Type="http://schemas.openxmlformats.org/officeDocument/2006/relationships/externalLinkPath" Target="/Users/graev/OneDrive/&#1056;&#1072;&#1073;&#1086;&#1095;&#1080;&#1081;%20&#1089;&#1090;&#1086;&#1083;/ITMO/2COURSE/1SEM/TeorVer/IDZ19.1_var1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</sheetNames>
    <sheetDataSet>
      <sheetData sheetId="0">
        <row r="49">
          <cell r="Q49">
            <v>22.5</v>
          </cell>
          <cell r="V49" t="str">
            <v>0,02-0,024</v>
          </cell>
        </row>
        <row r="50">
          <cell r="Q50">
            <v>27.5</v>
          </cell>
          <cell r="V50" t="str">
            <v>0,024-0,028</v>
          </cell>
        </row>
        <row r="51">
          <cell r="Q51">
            <v>30</v>
          </cell>
          <cell r="V51" t="str">
            <v>0,028-0,032</v>
          </cell>
        </row>
        <row r="52">
          <cell r="Q52">
            <v>32.5</v>
          </cell>
          <cell r="V52" t="str">
            <v>0,032-0,036</v>
          </cell>
        </row>
        <row r="53">
          <cell r="Q53">
            <v>40</v>
          </cell>
          <cell r="V53" t="str">
            <v>0,036-0,04</v>
          </cell>
        </row>
        <row r="54">
          <cell r="Q54">
            <v>27.5</v>
          </cell>
          <cell r="V54" t="str">
            <v>0,04-0,044</v>
          </cell>
        </row>
        <row r="55">
          <cell r="Q55">
            <v>25</v>
          </cell>
          <cell r="V55" t="str">
            <v>0,044-0,048</v>
          </cell>
        </row>
        <row r="56">
          <cell r="Q56">
            <v>25</v>
          </cell>
          <cell r="V56" t="str">
            <v>0,048-0,052</v>
          </cell>
        </row>
        <row r="57">
          <cell r="Q57">
            <v>20</v>
          </cell>
          <cell r="V57" t="str">
            <v>0,052-0,056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AO42"/>
  <sheetViews>
    <sheetView tabSelected="1" topLeftCell="A25" workbookViewId="0">
      <selection activeCell="K50" sqref="K50"/>
    </sheetView>
  </sheetViews>
  <sheetFormatPr defaultRowHeight="14.4" x14ac:dyDescent="0.3"/>
  <cols>
    <col min="5" max="5" width="9.44140625" bestFit="1" customWidth="1"/>
  </cols>
  <sheetData>
    <row r="1" spans="1:12" x14ac:dyDescent="0.3">
      <c r="A1" s="3" t="s">
        <v>2</v>
      </c>
      <c r="B1" s="1">
        <v>18</v>
      </c>
      <c r="C1" s="4">
        <v>19</v>
      </c>
      <c r="D1" s="3"/>
      <c r="E1" s="3"/>
      <c r="F1" s="3"/>
      <c r="G1" s="3"/>
      <c r="H1" s="3"/>
      <c r="I1" s="3"/>
      <c r="J1" s="3"/>
    </row>
    <row r="2" spans="1:12" x14ac:dyDescent="0.3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</row>
    <row r="3" spans="1:12" x14ac:dyDescent="0.3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</row>
    <row r="4" spans="1:12" x14ac:dyDescent="0.3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</row>
    <row r="5" spans="1:12" x14ac:dyDescent="0.3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</row>
    <row r="6" spans="1:12" x14ac:dyDescent="0.3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1.1180000000000001</v>
      </c>
      <c r="I6" s="1">
        <v>-0.86099999999999999</v>
      </c>
      <c r="J6" s="1">
        <v>0.59799999999999998</v>
      </c>
    </row>
    <row r="7" spans="1:12" x14ac:dyDescent="0.3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</row>
    <row r="8" spans="1:12" x14ac:dyDescent="0.3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</row>
    <row r="9" spans="1:12" x14ac:dyDescent="0.3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</row>
    <row r="10" spans="1:12" x14ac:dyDescent="0.3">
      <c r="A10" s="2">
        <v>-0.60399999999999998</v>
      </c>
      <c r="B10" s="2">
        <v>-0.95199999999999996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</row>
    <row r="11" spans="1:12" x14ac:dyDescent="0.3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</row>
    <row r="14" spans="1:12" x14ac:dyDescent="0.3">
      <c r="A14" t="s">
        <v>1</v>
      </c>
    </row>
    <row r="15" spans="1:12" x14ac:dyDescent="0.3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12" x14ac:dyDescent="0.3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41" x14ac:dyDescent="0.3">
      <c r="A17" s="1">
        <v>-0.97599999999999998</v>
      </c>
      <c r="B17" s="1">
        <v>-0.95199999999999996</v>
      </c>
      <c r="C17" s="1">
        <v>-0.89200000000000002</v>
      </c>
      <c r="D17" s="1">
        <v>-0.873</v>
      </c>
      <c r="E17" s="1">
        <v>-0.873</v>
      </c>
      <c r="F17" s="1">
        <v>-0.872</v>
      </c>
      <c r="G17" s="1">
        <v>-0.871</v>
      </c>
      <c r="H17" s="1">
        <v>-0.86099999999999999</v>
      </c>
      <c r="I17" s="1">
        <v>-0.85899999999999999</v>
      </c>
      <c r="J17" s="1">
        <v>-0.85199999999999998</v>
      </c>
    </row>
    <row r="18" spans="1:41" x14ac:dyDescent="0.3">
      <c r="A18" s="1">
        <v>-0.80900000000000005</v>
      </c>
      <c r="B18" s="1">
        <v>-0.80300000000000005</v>
      </c>
      <c r="C18" s="1">
        <v>-0.79500000000000004</v>
      </c>
      <c r="D18" s="1">
        <v>-0.77800000000000002</v>
      </c>
      <c r="E18" s="1">
        <v>-0.76400000000000001</v>
      </c>
      <c r="F18" s="1">
        <v>-0.76100000000000001</v>
      </c>
      <c r="G18" s="1">
        <v>-0.70799999999999996</v>
      </c>
      <c r="H18" s="1">
        <v>-0.70299999999999996</v>
      </c>
      <c r="I18" s="1">
        <v>-0.69899999999999995</v>
      </c>
      <c r="J18" s="1">
        <v>-0.67900000000000005</v>
      </c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1:41" x14ac:dyDescent="0.3">
      <c r="A19" s="1">
        <v>-0.65400000000000003</v>
      </c>
      <c r="B19" s="1">
        <v>-0.64600000000000002</v>
      </c>
      <c r="C19" s="1">
        <v>-0.61899999999999999</v>
      </c>
      <c r="D19" s="1">
        <v>-0.60399999999999998</v>
      </c>
      <c r="E19" s="1">
        <v>-0.60299999999999998</v>
      </c>
      <c r="F19" s="1">
        <v>-0.504</v>
      </c>
      <c r="G19" s="1">
        <v>-0.46700000000000003</v>
      </c>
      <c r="H19" s="1">
        <v>-0.40400000000000003</v>
      </c>
      <c r="I19" s="1">
        <v>-0.39100000000000001</v>
      </c>
      <c r="J19" s="1">
        <v>-0.38800000000000001</v>
      </c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1:41" x14ac:dyDescent="0.3">
      <c r="A20" s="2">
        <v>-0.38300000000000001</v>
      </c>
      <c r="B20" s="2">
        <v>-0.318</v>
      </c>
      <c r="C20" s="2">
        <v>-0.20300000000000001</v>
      </c>
      <c r="D20" s="2">
        <v>-0.161</v>
      </c>
      <c r="E20" s="2">
        <v>-0.151</v>
      </c>
      <c r="F20" s="2">
        <v>-0.1</v>
      </c>
      <c r="G20" s="2">
        <v>-9.7000000000000003E-2</v>
      </c>
      <c r="H20" s="2">
        <v>2.1999999999999999E-2</v>
      </c>
      <c r="I20" s="2">
        <v>2.5999999999999999E-2</v>
      </c>
      <c r="J20" s="2">
        <v>6.9000000000000006E-2</v>
      </c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1:41" x14ac:dyDescent="0.3">
      <c r="A21" s="2">
        <v>0.128</v>
      </c>
      <c r="B21" s="2">
        <v>0.13400000000000001</v>
      </c>
      <c r="C21" s="2">
        <v>0.214</v>
      </c>
      <c r="D21" s="2">
        <v>0.308</v>
      </c>
      <c r="E21" s="2">
        <v>0.34399999999999997</v>
      </c>
      <c r="F21" s="2">
        <v>0.36799999999999999</v>
      </c>
      <c r="G21" s="2">
        <v>0.40300000000000002</v>
      </c>
      <c r="H21" s="2">
        <v>0.40899999999999997</v>
      </c>
      <c r="I21" s="2">
        <v>0.41799999999999998</v>
      </c>
      <c r="J21" s="2">
        <v>0.44</v>
      </c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1:41" x14ac:dyDescent="0.3">
      <c r="A22" s="2">
        <v>0.46200000000000002</v>
      </c>
      <c r="B22" s="2">
        <v>0.47199999999999998</v>
      </c>
      <c r="C22" s="2">
        <v>0.53300000000000003</v>
      </c>
      <c r="D22" s="2">
        <v>0.56399999999999995</v>
      </c>
      <c r="E22" s="2">
        <v>0.56399999999999995</v>
      </c>
      <c r="F22" s="2">
        <v>0.57799999999999996</v>
      </c>
      <c r="G22" s="2">
        <v>0.59799999999999998</v>
      </c>
      <c r="H22" s="2">
        <v>0.61499999999999999</v>
      </c>
      <c r="I22" s="2">
        <v>0.621</v>
      </c>
      <c r="J22" s="2">
        <v>0.68100000000000005</v>
      </c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41" x14ac:dyDescent="0.3">
      <c r="A23" s="2">
        <v>0.69399999999999995</v>
      </c>
      <c r="B23" s="2">
        <v>0.71099999999999997</v>
      </c>
      <c r="C23" s="2">
        <v>0.88500000000000001</v>
      </c>
      <c r="D23" s="2">
        <v>0.94199999999999995</v>
      </c>
      <c r="E23" s="2">
        <v>1.0109999999999999</v>
      </c>
      <c r="F23" s="2">
        <v>1.093</v>
      </c>
      <c r="G23" s="2">
        <v>1.1180000000000001</v>
      </c>
      <c r="H23" s="2">
        <v>1.177</v>
      </c>
      <c r="I23" s="2">
        <v>1.2030000000000001</v>
      </c>
      <c r="J23" s="2">
        <v>1.2270000000000001</v>
      </c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41" x14ac:dyDescent="0.3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4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 t="s">
        <v>18</v>
      </c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3">
      <c r="A27" s="3" t="s">
        <v>9</v>
      </c>
      <c r="B27" s="3">
        <v>-2.6269999999999998</v>
      </c>
      <c r="C27" s="3"/>
      <c r="D27" s="3">
        <v>12</v>
      </c>
      <c r="E27" s="3" t="s">
        <v>3</v>
      </c>
      <c r="F27" s="3"/>
      <c r="G27" s="3"/>
      <c r="H27" s="3"/>
      <c r="I27" s="3"/>
      <c r="J27" s="3"/>
      <c r="K27" s="3"/>
      <c r="L27" s="3" t="s">
        <v>11</v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3">
      <c r="A28" s="3" t="s">
        <v>10</v>
      </c>
      <c r="B28" s="3">
        <v>1.7629999999999999</v>
      </c>
      <c r="C28" s="3"/>
      <c r="D28" s="3" t="s">
        <v>4</v>
      </c>
      <c r="E28" s="6">
        <f>(B28-B27)/D27</f>
        <v>0.36583333333333329</v>
      </c>
      <c r="F28" s="3" t="s">
        <v>6</v>
      </c>
      <c r="G28" s="3"/>
      <c r="H28" s="3"/>
      <c r="I28" s="3"/>
      <c r="J28" s="3"/>
      <c r="K28" s="3"/>
      <c r="L28" s="3" t="s">
        <v>12</v>
      </c>
      <c r="M28" s="3"/>
      <c r="N28" s="3" t="s">
        <v>13</v>
      </c>
      <c r="O28" s="3" t="s">
        <v>14</v>
      </c>
      <c r="P28" s="3" t="s">
        <v>15</v>
      </c>
      <c r="Q28" s="3" t="s">
        <v>16</v>
      </c>
      <c r="R28" s="3" t="s">
        <v>17</v>
      </c>
      <c r="S28" s="3" t="s">
        <v>20</v>
      </c>
      <c r="T28" s="3"/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>
        <v>1</v>
      </c>
      <c r="M29" s="3"/>
      <c r="N29" s="3">
        <v>-2.7</v>
      </c>
      <c r="O29" s="6">
        <f>N29+E28</f>
        <v>-2.3341666666666669</v>
      </c>
      <c r="P29" s="6">
        <f>(N29+O29)/2</f>
        <v>-2.5170833333333338</v>
      </c>
      <c r="Q29" s="3">
        <v>3</v>
      </c>
      <c r="R29" s="3">
        <f>Q29/100</f>
        <v>0.03</v>
      </c>
      <c r="S29" s="5">
        <f>R29/$E$28</f>
        <v>8.2004555808656038E-2</v>
      </c>
      <c r="T29" s="3"/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3">
      <c r="A30" s="3"/>
      <c r="B30" s="3"/>
      <c r="C30" s="3"/>
      <c r="D30" s="3" t="s">
        <v>5</v>
      </c>
      <c r="E30" s="3"/>
      <c r="F30" s="6">
        <f>D27*E28</f>
        <v>4.3899999999999997</v>
      </c>
      <c r="G30" s="3"/>
      <c r="H30" s="3"/>
      <c r="I30" s="3"/>
      <c r="J30" s="3"/>
      <c r="K30" s="3"/>
      <c r="L30" s="3">
        <v>2</v>
      </c>
      <c r="M30" s="3"/>
      <c r="N30" s="6">
        <f>O29</f>
        <v>-2.3341666666666669</v>
      </c>
      <c r="O30" s="6">
        <f>N30+$E$28</f>
        <v>-1.9683333333333337</v>
      </c>
      <c r="P30" s="6">
        <f t="shared" ref="P30:P40" si="0">(N30+O30)/2</f>
        <v>-2.1512500000000001</v>
      </c>
      <c r="Q30" s="3">
        <v>2</v>
      </c>
      <c r="R30" s="3">
        <f t="shared" ref="R30:R40" si="1">Q30/100</f>
        <v>0.02</v>
      </c>
      <c r="S30" s="5">
        <f t="shared" ref="S30:S40" si="2">R30/$E$28</f>
        <v>5.4669703872437365E-2</v>
      </c>
      <c r="T30" s="3"/>
      <c r="U30" s="3"/>
      <c r="V30" s="8" t="s">
        <v>25</v>
      </c>
      <c r="W30" s="3"/>
      <c r="X30" s="5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3">
      <c r="A31" s="3"/>
      <c r="B31" s="3"/>
      <c r="C31" s="3"/>
      <c r="D31" s="3" t="s">
        <v>7</v>
      </c>
      <c r="E31" s="3">
        <v>-2.7</v>
      </c>
      <c r="F31" s="3"/>
      <c r="G31" s="3"/>
      <c r="H31" s="3"/>
      <c r="I31" s="3"/>
      <c r="J31" s="3"/>
      <c r="K31" s="3"/>
      <c r="L31" s="3">
        <v>3</v>
      </c>
      <c r="M31" s="3"/>
      <c r="N31" s="6">
        <f t="shared" ref="N31:N40" si="3">O30</f>
        <v>-1.9683333333333337</v>
      </c>
      <c r="O31" s="6">
        <f t="shared" ref="O31:O40" si="4">N31+$E$28</f>
        <v>-1.6025000000000005</v>
      </c>
      <c r="P31" s="6">
        <f t="shared" si="0"/>
        <v>-1.7854166666666671</v>
      </c>
      <c r="Q31" s="3">
        <v>3</v>
      </c>
      <c r="R31" s="3">
        <f t="shared" si="1"/>
        <v>0.03</v>
      </c>
      <c r="S31" s="5">
        <f t="shared" si="2"/>
        <v>8.2004555808656038E-2</v>
      </c>
      <c r="T31" s="3"/>
      <c r="U31" s="3"/>
      <c r="V31" s="8" t="s">
        <v>24</v>
      </c>
      <c r="W31" s="3"/>
      <c r="X31" s="5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3">
      <c r="A32" s="3"/>
      <c r="B32" s="3"/>
      <c r="C32" s="3"/>
      <c r="D32" s="3" t="s">
        <v>8</v>
      </c>
      <c r="E32" s="7">
        <f>E31+F30</f>
        <v>1.6899999999999995</v>
      </c>
      <c r="F32" s="3"/>
      <c r="G32" s="3"/>
      <c r="H32" s="3"/>
      <c r="I32" s="3"/>
      <c r="J32" s="3"/>
      <c r="K32" s="3"/>
      <c r="L32" s="3">
        <v>4</v>
      </c>
      <c r="M32" s="3"/>
      <c r="N32" s="6">
        <f t="shared" si="3"/>
        <v>-1.6025000000000005</v>
      </c>
      <c r="O32" s="6">
        <f t="shared" si="4"/>
        <v>-1.2366666666666672</v>
      </c>
      <c r="P32" s="6">
        <f t="shared" si="0"/>
        <v>-1.4195833333333339</v>
      </c>
      <c r="Q32" s="3">
        <v>8</v>
      </c>
      <c r="R32" s="3">
        <f t="shared" si="1"/>
        <v>0.08</v>
      </c>
      <c r="S32" s="5">
        <f t="shared" si="2"/>
        <v>0.21867881548974946</v>
      </c>
      <c r="T32" s="3"/>
      <c r="U32" s="3"/>
      <c r="V32" s="8" t="s">
        <v>23</v>
      </c>
      <c r="W32" s="3"/>
      <c r="X32" s="5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>
        <v>5</v>
      </c>
      <c r="M33" s="3"/>
      <c r="N33" s="6">
        <f t="shared" si="3"/>
        <v>-1.2366666666666672</v>
      </c>
      <c r="O33" s="6">
        <f t="shared" si="4"/>
        <v>-0.87083333333333401</v>
      </c>
      <c r="P33" s="6">
        <f t="shared" si="0"/>
        <v>-1.0537500000000006</v>
      </c>
      <c r="Q33" s="3">
        <v>6</v>
      </c>
      <c r="R33" s="3">
        <f t="shared" si="1"/>
        <v>0.06</v>
      </c>
      <c r="S33" s="5">
        <f t="shared" si="2"/>
        <v>0.16400911161731208</v>
      </c>
      <c r="T33" s="3"/>
      <c r="U33" s="3"/>
      <c r="V33" s="8" t="s">
        <v>26</v>
      </c>
      <c r="W33" s="3"/>
      <c r="X33" s="5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>
        <v>6</v>
      </c>
      <c r="M34" s="3"/>
      <c r="N34" s="6">
        <f t="shared" si="3"/>
        <v>-0.87083333333333401</v>
      </c>
      <c r="O34" s="6">
        <f t="shared" si="4"/>
        <v>-0.50500000000000078</v>
      </c>
      <c r="P34" s="6">
        <f t="shared" si="0"/>
        <v>-0.6879166666666674</v>
      </c>
      <c r="Q34" s="3">
        <v>24</v>
      </c>
      <c r="R34" s="3">
        <f t="shared" si="1"/>
        <v>0.24</v>
      </c>
      <c r="S34" s="5">
        <f t="shared" si="2"/>
        <v>0.6560364464692483</v>
      </c>
      <c r="T34" s="3"/>
      <c r="U34" s="3"/>
      <c r="V34" s="8" t="s">
        <v>27</v>
      </c>
      <c r="W34" s="3"/>
      <c r="X34" s="5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>
        <v>7</v>
      </c>
      <c r="M35" s="3"/>
      <c r="N35" s="6">
        <f t="shared" si="3"/>
        <v>-0.50500000000000078</v>
      </c>
      <c r="O35" s="6">
        <f t="shared" si="4"/>
        <v>-0.13916666666666749</v>
      </c>
      <c r="P35" s="6">
        <f t="shared" si="0"/>
        <v>-0.32208333333333417</v>
      </c>
      <c r="Q35" s="3">
        <v>10</v>
      </c>
      <c r="R35" s="3">
        <f t="shared" si="1"/>
        <v>0.1</v>
      </c>
      <c r="S35" s="5">
        <f t="shared" si="2"/>
        <v>0.27334851936218685</v>
      </c>
      <c r="T35" s="3"/>
      <c r="U35" s="3"/>
      <c r="V35" s="8" t="s">
        <v>28</v>
      </c>
      <c r="W35" s="3"/>
      <c r="X35" s="5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>
        <v>8</v>
      </c>
      <c r="M36" s="3"/>
      <c r="N36" s="6">
        <f t="shared" si="3"/>
        <v>-0.13916666666666749</v>
      </c>
      <c r="O36" s="6">
        <f t="shared" si="4"/>
        <v>0.22666666666666579</v>
      </c>
      <c r="P36" s="6">
        <f t="shared" si="0"/>
        <v>4.3749999999999151E-2</v>
      </c>
      <c r="Q36" s="3">
        <v>6</v>
      </c>
      <c r="R36" s="3">
        <f t="shared" si="1"/>
        <v>0.06</v>
      </c>
      <c r="S36" s="5">
        <f t="shared" si="2"/>
        <v>0.16400911161731208</v>
      </c>
      <c r="T36" s="3"/>
      <c r="U36" s="3"/>
      <c r="V36" s="8" t="s">
        <v>29</v>
      </c>
      <c r="W36" s="3"/>
      <c r="X36" s="5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>
        <v>9</v>
      </c>
      <c r="M37" s="3"/>
      <c r="N37" s="6">
        <f t="shared" si="3"/>
        <v>0.22666666666666579</v>
      </c>
      <c r="O37" s="6">
        <f t="shared" si="4"/>
        <v>0.59249999999999914</v>
      </c>
      <c r="P37" s="6">
        <f t="shared" si="0"/>
        <v>0.40958333333333247</v>
      </c>
      <c r="Q37" s="3">
        <v>15</v>
      </c>
      <c r="R37" s="3">
        <f t="shared" si="1"/>
        <v>0.15</v>
      </c>
      <c r="S37" s="5">
        <f t="shared" si="2"/>
        <v>0.41002277904328022</v>
      </c>
      <c r="T37" s="3"/>
      <c r="U37" s="3"/>
      <c r="V37" s="8" t="s">
        <v>30</v>
      </c>
      <c r="W37" s="3"/>
      <c r="X37" s="5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>
        <v>10</v>
      </c>
      <c r="M38" s="3"/>
      <c r="N38" s="6">
        <f t="shared" si="3"/>
        <v>0.59249999999999914</v>
      </c>
      <c r="O38" s="6">
        <f t="shared" si="4"/>
        <v>0.95833333333333237</v>
      </c>
      <c r="P38" s="6">
        <f t="shared" si="0"/>
        <v>0.77541666666666575</v>
      </c>
      <c r="Q38" s="3">
        <v>7</v>
      </c>
      <c r="R38" s="3">
        <f t="shared" si="1"/>
        <v>7.0000000000000007E-2</v>
      </c>
      <c r="S38" s="5">
        <f t="shared" si="2"/>
        <v>0.19134396355353078</v>
      </c>
      <c r="T38" s="3"/>
      <c r="U38" s="3"/>
      <c r="V38" s="8" t="s">
        <v>31</v>
      </c>
      <c r="W38" s="3"/>
      <c r="X38" s="5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>
        <v>11</v>
      </c>
      <c r="M39" s="3"/>
      <c r="N39" s="6">
        <f t="shared" si="3"/>
        <v>0.95833333333333237</v>
      </c>
      <c r="O39" s="6">
        <f t="shared" si="4"/>
        <v>1.3241666666666656</v>
      </c>
      <c r="P39" s="6">
        <f t="shared" si="0"/>
        <v>1.141249999999999</v>
      </c>
      <c r="Q39" s="3">
        <v>8</v>
      </c>
      <c r="R39" s="3">
        <f t="shared" si="1"/>
        <v>0.08</v>
      </c>
      <c r="S39" s="5">
        <f t="shared" si="2"/>
        <v>0.21867881548974946</v>
      </c>
      <c r="T39" s="3"/>
      <c r="U39" s="3"/>
      <c r="V39" s="8" t="s">
        <v>32</v>
      </c>
      <c r="W39" s="3"/>
      <c r="X39" s="5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>
        <v>12</v>
      </c>
      <c r="M40" s="3"/>
      <c r="N40" s="6">
        <f t="shared" si="3"/>
        <v>1.3241666666666656</v>
      </c>
      <c r="O40" s="6">
        <f t="shared" si="4"/>
        <v>1.6899999999999988</v>
      </c>
      <c r="P40" s="6">
        <f t="shared" si="0"/>
        <v>1.5070833333333322</v>
      </c>
      <c r="Q40" s="3">
        <v>8</v>
      </c>
      <c r="R40" s="3">
        <f t="shared" si="1"/>
        <v>0.08</v>
      </c>
      <c r="S40" s="5">
        <f t="shared" si="2"/>
        <v>0.21867881548974946</v>
      </c>
      <c r="T40" s="3"/>
      <c r="U40" s="3"/>
      <c r="V40" s="8" t="s">
        <v>33</v>
      </c>
      <c r="W40" s="3"/>
      <c r="X40" s="5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 t="s">
        <v>19</v>
      </c>
      <c r="M41" s="3"/>
      <c r="N41" s="3"/>
      <c r="O41" s="3"/>
      <c r="P41" s="3"/>
      <c r="Q41" s="3">
        <f>SUM(Q29:Q40)</f>
        <v>100</v>
      </c>
      <c r="R41" s="3">
        <f>SUM(R29:R40)</f>
        <v>0.99999999999999978</v>
      </c>
      <c r="S41" s="3"/>
      <c r="T41" s="3"/>
      <c r="U41" s="3"/>
      <c r="V41" s="8" t="s">
        <v>34</v>
      </c>
      <c r="W41" s="3"/>
      <c r="X41" s="5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Григорий Раевский</cp:lastModifiedBy>
  <dcterms:created xsi:type="dcterms:W3CDTF">2024-02-18T10:54:40Z</dcterms:created>
  <dcterms:modified xsi:type="dcterms:W3CDTF">2024-02-18T13:00:08Z</dcterms:modified>
</cp:coreProperties>
</file>