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graev\OneDrive\Рабочий стол\ITMO\2COURSE\2SEM\MathStat\labs\"/>
    </mc:Choice>
  </mc:AlternateContent>
  <xr:revisionPtr revIDLastSave="0" documentId="13_ncr:1_{445D1C90-CF5B-4E2B-A5FD-050444A95F91}" xr6:coauthVersionLast="47" xr6:coauthVersionMax="47" xr10:uidLastSave="{00000000-0000-0000-0000-000000000000}"/>
  <bookViews>
    <workbookView xWindow="-108" yWindow="-108" windowWidth="41496" windowHeight="16776" xr2:uid="{1D0E994C-E4D1-4BED-A763-82A8FEDEF019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80" i="1" l="1"/>
  <c r="K79" i="1"/>
  <c r="D75" i="1"/>
  <c r="D79" i="1"/>
  <c r="D76" i="1"/>
  <c r="D80" i="1" s="1"/>
  <c r="P69" i="1"/>
  <c r="P68" i="1"/>
  <c r="L69" i="1"/>
  <c r="E69" i="1"/>
  <c r="F69" i="1"/>
  <c r="G69" i="1"/>
  <c r="H69" i="1"/>
  <c r="I69" i="1"/>
  <c r="J69" i="1"/>
  <c r="K69" i="1"/>
  <c r="M69" i="1"/>
  <c r="N69" i="1"/>
  <c r="O69" i="1"/>
  <c r="D69" i="1"/>
  <c r="E68" i="1"/>
  <c r="F68" i="1"/>
  <c r="G68" i="1"/>
  <c r="H68" i="1"/>
  <c r="I68" i="1"/>
  <c r="J68" i="1"/>
  <c r="K68" i="1"/>
  <c r="L68" i="1"/>
  <c r="M68" i="1"/>
  <c r="N68" i="1"/>
  <c r="O68" i="1"/>
  <c r="D68" i="1"/>
  <c r="O67" i="1"/>
  <c r="N67" i="1"/>
  <c r="M67" i="1"/>
  <c r="L67" i="1"/>
  <c r="K67" i="1"/>
  <c r="J67" i="1"/>
  <c r="I67" i="1"/>
  <c r="H67" i="1"/>
  <c r="G67" i="1"/>
  <c r="F67" i="1"/>
  <c r="E67" i="1"/>
  <c r="D67" i="1"/>
  <c r="O66" i="1"/>
  <c r="N66" i="1"/>
  <c r="M66" i="1"/>
  <c r="L66" i="1"/>
  <c r="K66" i="1"/>
  <c r="J66" i="1"/>
  <c r="I66" i="1"/>
  <c r="H66" i="1"/>
  <c r="G66" i="1"/>
  <c r="F66" i="1"/>
  <c r="E66" i="1"/>
  <c r="D66" i="1"/>
  <c r="Z32" i="1"/>
  <c r="Z33" i="1"/>
  <c r="Z34" i="1"/>
  <c r="Z35" i="1" s="1"/>
  <c r="Z36" i="1" s="1"/>
  <c r="Z37" i="1" s="1"/>
  <c r="Z38" i="1" s="1"/>
  <c r="Z39" i="1" s="1"/>
  <c r="Z40" i="1" s="1"/>
  <c r="Z41" i="1" s="1"/>
  <c r="Z30" i="1"/>
  <c r="Z31" i="1" s="1"/>
  <c r="R40" i="1" l="1"/>
  <c r="B28" i="1"/>
  <c r="E28" i="1" s="1"/>
  <c r="B27" i="1"/>
  <c r="F30" i="1" l="1"/>
  <c r="E32" i="1" s="1"/>
  <c r="O29" i="1"/>
  <c r="S40" i="1"/>
  <c r="N30" i="1" l="1"/>
  <c r="Q29" i="1"/>
  <c r="P29" i="1"/>
  <c r="R29" i="1" l="1"/>
  <c r="Q30" i="1"/>
  <c r="R30" i="1" s="1"/>
  <c r="S30" i="1" s="1"/>
  <c r="O30" i="1"/>
  <c r="N31" i="1" s="1"/>
  <c r="O31" i="1" l="1"/>
  <c r="N32" i="1" s="1"/>
  <c r="P31" i="1"/>
  <c r="Q31" i="1"/>
  <c r="R31" i="1" s="1"/>
  <c r="S31" i="1" s="1"/>
  <c r="P30" i="1"/>
  <c r="S29" i="1"/>
  <c r="Q32" i="1" l="1"/>
  <c r="R32" i="1" s="1"/>
  <c r="S32" i="1" s="1"/>
  <c r="O32" i="1"/>
  <c r="N33" i="1" s="1"/>
  <c r="P32" i="1"/>
  <c r="O33" i="1" l="1"/>
  <c r="N34" i="1" s="1"/>
  <c r="P34" i="1" l="1"/>
  <c r="O34" i="1"/>
  <c r="N35" i="1" s="1"/>
  <c r="Q34" i="1"/>
  <c r="R34" i="1" s="1"/>
  <c r="S34" i="1" s="1"/>
  <c r="P33" i="1"/>
  <c r="Q33" i="1"/>
  <c r="O35" i="1" l="1"/>
  <c r="N36" i="1" s="1"/>
  <c r="Q35" i="1"/>
  <c r="R35" i="1" s="1"/>
  <c r="S35" i="1" s="1"/>
  <c r="R33" i="1"/>
  <c r="P35" i="1" l="1"/>
  <c r="S33" i="1"/>
  <c r="Q36" i="1"/>
  <c r="R36" i="1" s="1"/>
  <c r="S36" i="1" s="1"/>
  <c r="O36" i="1"/>
  <c r="N37" i="1" s="1"/>
  <c r="O37" i="1" l="1"/>
  <c r="N38" i="1" s="1"/>
  <c r="Q37" i="1"/>
  <c r="R37" i="1" s="1"/>
  <c r="S37" i="1" s="1"/>
  <c r="P37" i="1"/>
  <c r="P36" i="1"/>
  <c r="P38" i="1" l="1"/>
  <c r="O38" i="1"/>
  <c r="N39" i="1" s="1"/>
  <c r="Q38" i="1"/>
  <c r="R38" i="1" s="1"/>
  <c r="S38" i="1" s="1"/>
  <c r="O39" i="1" l="1"/>
  <c r="N40" i="1" s="1"/>
  <c r="P40" i="1" l="1"/>
  <c r="O40" i="1"/>
  <c r="P39" i="1"/>
  <c r="Q39" i="1"/>
  <c r="R39" i="1" l="1"/>
  <c r="Q41" i="1"/>
  <c r="S39" i="1" l="1"/>
  <c r="R41" i="1"/>
</calcChain>
</file>

<file path=xl/sharedStrings.xml><?xml version="1.0" encoding="utf-8"?>
<sst xmlns="http://schemas.openxmlformats.org/spreadsheetml/2006/main" count="63" uniqueCount="59">
  <si>
    <t>n=100</t>
  </si>
  <si>
    <t>Отсортированные данные</t>
  </si>
  <si>
    <t>Вар</t>
  </si>
  <si>
    <t>интервалов</t>
  </si>
  <si>
    <t>шаг</t>
  </si>
  <si>
    <t>длина отрезка</t>
  </si>
  <si>
    <t>округление до дес</t>
  </si>
  <si>
    <t>\over{a}</t>
  </si>
  <si>
    <t>\over{b}</t>
  </si>
  <si>
    <t>a</t>
  </si>
  <si>
    <t>b</t>
  </si>
  <si>
    <t>Интервальный ряд</t>
  </si>
  <si>
    <t>Номер интервала</t>
  </si>
  <si>
    <t>x_i</t>
  </si>
  <si>
    <t>x_i+1</t>
  </si>
  <si>
    <t>x*_i</t>
  </si>
  <si>
    <t>n_i</t>
  </si>
  <si>
    <t>p*_i</t>
  </si>
  <si>
    <t>Числа, совпадающие с границами частичных интервалом, относим к левому интервалу</t>
  </si>
  <si>
    <t>сумм</t>
  </si>
  <si>
    <t>p*_i/h</t>
  </si>
  <si>
    <t>Гистограмма</t>
  </si>
  <si>
    <t>Данные для гистрограммы</t>
  </si>
  <si>
    <t>-2,0-(-1,6)</t>
  </si>
  <si>
    <t>-2,3-(-2,0)</t>
  </si>
  <si>
    <t>-1,6-(-1,2)</t>
  </si>
  <si>
    <t>-1,2-(-0,9)</t>
  </si>
  <si>
    <t>-0,9-(-0,5)</t>
  </si>
  <si>
    <t>-0,5-(-0,1)</t>
  </si>
  <si>
    <t>-0,1-0,2</t>
  </si>
  <si>
    <t>0,2-0,6</t>
  </si>
  <si>
    <t>0,6-1,0</t>
  </si>
  <si>
    <t>1,0-1,3</t>
  </si>
  <si>
    <t>F(x)</t>
  </si>
  <si>
    <t>x</t>
  </si>
  <si>
    <t>Эмпирическая ф-ция распределения</t>
  </si>
  <si>
    <t>-2,6-(-2,3)</t>
  </si>
  <si>
    <t>1,3-1,8</t>
  </si>
  <si>
    <t>Точечные оценки мат ожидания и депрессии</t>
  </si>
  <si>
    <t>P*_i</t>
  </si>
  <si>
    <t>x*_i*p*_i</t>
  </si>
  <si>
    <t>x*^2*p_i</t>
  </si>
  <si>
    <t>Промежуточные результаты</t>
  </si>
  <si>
    <t>доверительная вероятность</t>
  </si>
  <si>
    <t>m_2</t>
  </si>
  <si>
    <t>\over{X}</t>
  </si>
  <si>
    <t>Таблица 3 (и 4)</t>
  </si>
  <si>
    <t>S^2=m_2-X^2</t>
  </si>
  <si>
    <t>Округляя, получаем</t>
  </si>
  <si>
    <t>S^{2}</t>
  </si>
  <si>
    <t>t</t>
  </si>
  <si>
    <t>Ф(t)</t>
  </si>
  <si>
    <t>Тогда интервал</t>
  </si>
  <si>
    <t>левая часть</t>
  </si>
  <si>
    <t>правая часть</t>
  </si>
  <si>
    <t>тогда доверительный интервал для мат ожидания имеет вид</t>
  </si>
  <si>
    <t>-0,311&lt;m&lt;0,087</t>
  </si>
  <si>
    <t>Пункт 2, доверительный интервал</t>
  </si>
  <si>
    <t>Пункт 3, проверка стат гипотез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</si>
</sst>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2" fontId="0" fillId="0" borderId="0" xfId="0" applyNumberFormat="1"/>
    <xf numFmtId="164" fontId="0" fillId="0" borderId="0" xfId="0" applyNumberFormat="1"/>
    <xf numFmtId="164" fontId="0" fillId="0" borderId="0" xfId="0" applyNumberFormat="1" applyAlignment="1">
      <alignment horizontal="right"/>
    </xf>
    <xf numFmtId="0" fontId="0" fillId="0" borderId="0" xfId="0" quotePrefix="1"/>
    <xf numFmtId="0" fontId="1" fillId="0" borderId="0" xfId="0" applyFont="1" applyAlignment="1">
      <alignment vertical="center" wrapText="1"/>
    </xf>
    <xf numFmtId="165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165" fontId="0" fillId="0" borderId="0" xfId="0" applyNumberFormat="1" applyBorder="1"/>
    <xf numFmtId="2" fontId="0" fillId="0" borderId="0" xfId="0" applyNumberFormat="1" applyBorder="1"/>
    <xf numFmtId="0" fontId="0" fillId="0" borderId="0" xfId="0" quotePrefix="1" applyBorder="1"/>
    <xf numFmtId="0" fontId="0" fillId="0" borderId="6" xfId="0" applyBorder="1"/>
    <xf numFmtId="0" fontId="0" fillId="0" borderId="7" xfId="0" applyBorder="1"/>
    <xf numFmtId="0" fontId="0" fillId="0" borderId="8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u="none" strike="noStrike" baseline="0">
                <a:solidFill>
                  <a:sysClr val="windowText" lastClr="000000"/>
                </a:solidFill>
                <a:latin typeface="Calibri" panose="020F0502020204030204"/>
              </a:rPr>
              <a:t>Гистограмма частот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Лист1!$V$30:$V$41</c:f>
              <c:strCache>
                <c:ptCount val="12"/>
                <c:pt idx="0">
                  <c:v>-2,6-(-2,3)</c:v>
                </c:pt>
                <c:pt idx="1">
                  <c:v>-2,3-(-2,0)</c:v>
                </c:pt>
                <c:pt idx="2">
                  <c:v>-2,0-(-1,6)</c:v>
                </c:pt>
                <c:pt idx="3">
                  <c:v>-1,6-(-1,2)</c:v>
                </c:pt>
                <c:pt idx="4">
                  <c:v>-1,2-(-0,9)</c:v>
                </c:pt>
                <c:pt idx="5">
                  <c:v>-0,9-(-0,5)</c:v>
                </c:pt>
                <c:pt idx="6">
                  <c:v>-0,5-(-0,1)</c:v>
                </c:pt>
                <c:pt idx="7">
                  <c:v>-0,1-0,2</c:v>
                </c:pt>
                <c:pt idx="8">
                  <c:v>0,2-0,6</c:v>
                </c:pt>
                <c:pt idx="9">
                  <c:v>0,6-1,0</c:v>
                </c:pt>
                <c:pt idx="10">
                  <c:v>1,0-1,3</c:v>
                </c:pt>
                <c:pt idx="11">
                  <c:v>1,3-1,8</c:v>
                </c:pt>
              </c:strCache>
            </c:strRef>
          </c:cat>
          <c:val>
            <c:numRef>
              <c:f>Лист1!$S$29:$S$40</c:f>
              <c:numCache>
                <c:formatCode>0.00</c:formatCode>
                <c:ptCount val="12"/>
                <c:pt idx="0">
                  <c:v>5.4669703872437365E-2</c:v>
                </c:pt>
                <c:pt idx="1">
                  <c:v>2.7334851936218683E-2</c:v>
                </c:pt>
                <c:pt idx="2">
                  <c:v>0.13667425968109342</c:v>
                </c:pt>
                <c:pt idx="3">
                  <c:v>0.19134396355353078</c:v>
                </c:pt>
                <c:pt idx="4">
                  <c:v>0.43735763097949892</c:v>
                </c:pt>
                <c:pt idx="5">
                  <c:v>0.35535307517084286</c:v>
                </c:pt>
                <c:pt idx="6">
                  <c:v>0.27334851936218685</c:v>
                </c:pt>
                <c:pt idx="7">
                  <c:v>0.19134396355353078</c:v>
                </c:pt>
                <c:pt idx="8">
                  <c:v>0.43735763097949892</c:v>
                </c:pt>
                <c:pt idx="9">
                  <c:v>0.16400911161731208</c:v>
                </c:pt>
                <c:pt idx="10">
                  <c:v>0.24601366742596814</c:v>
                </c:pt>
                <c:pt idx="11">
                  <c:v>0.21867881548974946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CA-48F2-B9AB-A185916A1EE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1577456544"/>
        <c:axId val="1582476880"/>
      </c:barChart>
      <c:catAx>
        <c:axId val="157745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2476880"/>
        <c:crosses val="autoZero"/>
        <c:auto val="1"/>
        <c:lblAlgn val="ctr"/>
        <c:lblOffset val="100"/>
        <c:noMultiLvlLbl val="0"/>
      </c:catAx>
      <c:valAx>
        <c:axId val="1582476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774565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4803149606299213" l="0.70866141732283472" r="0.70866141732283472" t="0.74803149606299213" header="0.31496062992125984" footer="0.31496062992125984"/>
    <c:pageSetup orientation="landscape" blackAndWhite="1" horizontalDpi="-4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sz="2000" b="1">
                <a:solidFill>
                  <a:sysClr val="windowText" lastClr="000000"/>
                </a:solidFill>
              </a:rPr>
              <a:t>Эмпирическая</a:t>
            </a:r>
            <a:r>
              <a:rPr lang="ru-RU" sz="2000" b="1" baseline="0">
                <a:solidFill>
                  <a:sysClr val="windowText" lastClr="000000"/>
                </a:solidFill>
              </a:rPr>
              <a:t> функция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Лист1!$Y$29:$Y$41</c:f>
              <c:numCache>
                <c:formatCode>General</c:formatCode>
                <c:ptCount val="13"/>
                <c:pt idx="0">
                  <c:v>-2.6</c:v>
                </c:pt>
                <c:pt idx="1">
                  <c:v>-2.2000000000000002</c:v>
                </c:pt>
                <c:pt idx="2">
                  <c:v>-1.9</c:v>
                </c:pt>
                <c:pt idx="3">
                  <c:v>-1.5</c:v>
                </c:pt>
                <c:pt idx="4">
                  <c:v>-1.1000000000000001</c:v>
                </c:pt>
                <c:pt idx="5">
                  <c:v>-0.8</c:v>
                </c:pt>
                <c:pt idx="6">
                  <c:v>-0.4</c:v>
                </c:pt>
                <c:pt idx="7">
                  <c:v>0</c:v>
                </c:pt>
                <c:pt idx="8">
                  <c:v>0.3</c:v>
                </c:pt>
                <c:pt idx="9">
                  <c:v>0.7</c:v>
                </c:pt>
                <c:pt idx="10">
                  <c:v>1.1000000000000001</c:v>
                </c:pt>
                <c:pt idx="11">
                  <c:v>1.4</c:v>
                </c:pt>
                <c:pt idx="12">
                  <c:v>1.8</c:v>
                </c:pt>
              </c:numCache>
            </c:numRef>
          </c:xVal>
          <c:yVal>
            <c:numRef>
              <c:f>Лист1!$Z$29:$Z$41</c:f>
              <c:numCache>
                <c:formatCode>General</c:formatCode>
                <c:ptCount val="13"/>
                <c:pt idx="0">
                  <c:v>0</c:v>
                </c:pt>
                <c:pt idx="1">
                  <c:v>0.02</c:v>
                </c:pt>
                <c:pt idx="2">
                  <c:v>0.03</c:v>
                </c:pt>
                <c:pt idx="3">
                  <c:v>0.08</c:v>
                </c:pt>
                <c:pt idx="4">
                  <c:v>0.15000000000000002</c:v>
                </c:pt>
                <c:pt idx="5">
                  <c:v>0.31000000000000005</c:v>
                </c:pt>
                <c:pt idx="6">
                  <c:v>0.44000000000000006</c:v>
                </c:pt>
                <c:pt idx="7">
                  <c:v>0.54</c:v>
                </c:pt>
                <c:pt idx="8">
                  <c:v>0.6100000000000001</c:v>
                </c:pt>
                <c:pt idx="9">
                  <c:v>0.77000000000000013</c:v>
                </c:pt>
                <c:pt idx="10">
                  <c:v>0.83000000000000007</c:v>
                </c:pt>
                <c:pt idx="11">
                  <c:v>0.92</c:v>
                </c:pt>
                <c:pt idx="1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CF-4142-BB67-F061BD52223F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axId val="1577462784"/>
        <c:axId val="1865876032"/>
      </c:scatterChart>
      <c:valAx>
        <c:axId val="1577462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alpha val="70000"/>
                </a:schemeClr>
              </a:solidFill>
              <a:prstDash val="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alpha val="20000"/>
                </a:schemeClr>
              </a:solidFill>
              <a:prstDash val="sysDash"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65876032"/>
        <c:crosses val="autoZero"/>
        <c:crossBetween val="midCat"/>
      </c:valAx>
      <c:valAx>
        <c:axId val="1865876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70000"/>
                </a:schemeClr>
              </a:solidFill>
              <a:prstDash val="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alpha val="20000"/>
                </a:schemeClr>
              </a:solidFill>
              <a:prstDash val="sysDash"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77462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4803149606299213" l="0.70866141732283472" r="0.70866141732283472" t="0.74803149606299213" header="0.31496062992125984" footer="0.31496062992125984"/>
    <c:pageSetup orientation="landscape" blackAndWhite="1" horizontalDpi="-3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u="none" strike="noStrike" baseline="0">
                <a:solidFill>
                  <a:sysClr val="windowText" lastClr="000000"/>
                </a:solidFill>
                <a:latin typeface="Calibri" panose="020F0502020204030204"/>
              </a:rPr>
              <a:t>Эмпирическая функция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noFill/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numRef>
              <c:f>Лист1!$Y$29:$Y$41</c:f>
              <c:numCache>
                <c:formatCode>General</c:formatCode>
                <c:ptCount val="13"/>
                <c:pt idx="0">
                  <c:v>-2.6</c:v>
                </c:pt>
                <c:pt idx="1">
                  <c:v>-2.2000000000000002</c:v>
                </c:pt>
                <c:pt idx="2">
                  <c:v>-1.9</c:v>
                </c:pt>
                <c:pt idx="3">
                  <c:v>-1.5</c:v>
                </c:pt>
                <c:pt idx="4">
                  <c:v>-1.1000000000000001</c:v>
                </c:pt>
                <c:pt idx="5">
                  <c:v>-0.8</c:v>
                </c:pt>
                <c:pt idx="6">
                  <c:v>-0.4</c:v>
                </c:pt>
                <c:pt idx="7">
                  <c:v>0</c:v>
                </c:pt>
                <c:pt idx="8">
                  <c:v>0.3</c:v>
                </c:pt>
                <c:pt idx="9">
                  <c:v>0.7</c:v>
                </c:pt>
                <c:pt idx="10">
                  <c:v>1.1000000000000001</c:v>
                </c:pt>
                <c:pt idx="11">
                  <c:v>1.4</c:v>
                </c:pt>
                <c:pt idx="12">
                  <c:v>1.8</c:v>
                </c:pt>
              </c:numCache>
            </c:numRef>
          </c:cat>
          <c:val>
            <c:numRef>
              <c:f>Лист1!$Z$29:$Z$41</c:f>
              <c:numCache>
                <c:formatCode>General</c:formatCode>
                <c:ptCount val="13"/>
                <c:pt idx="0">
                  <c:v>0</c:v>
                </c:pt>
                <c:pt idx="1">
                  <c:v>0.02</c:v>
                </c:pt>
                <c:pt idx="2">
                  <c:v>0.03</c:v>
                </c:pt>
                <c:pt idx="3">
                  <c:v>0.08</c:v>
                </c:pt>
                <c:pt idx="4">
                  <c:v>0.15000000000000002</c:v>
                </c:pt>
                <c:pt idx="5">
                  <c:v>0.31000000000000005</c:v>
                </c:pt>
                <c:pt idx="6">
                  <c:v>0.44000000000000006</c:v>
                </c:pt>
                <c:pt idx="7">
                  <c:v>0.54</c:v>
                </c:pt>
                <c:pt idx="8">
                  <c:v>0.6100000000000001</c:v>
                </c:pt>
                <c:pt idx="9">
                  <c:v>0.77000000000000013</c:v>
                </c:pt>
                <c:pt idx="10">
                  <c:v>0.83000000000000007</c:v>
                </c:pt>
                <c:pt idx="11">
                  <c:v>0.92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D5-4978-B706-58CCF1F3A6C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1577456544"/>
        <c:axId val="1582476880"/>
      </c:barChart>
      <c:catAx>
        <c:axId val="157745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2476880"/>
        <c:crosses val="autoZero"/>
        <c:auto val="1"/>
        <c:lblAlgn val="ctr"/>
        <c:lblOffset val="100"/>
        <c:noMultiLvlLbl val="0"/>
      </c:catAx>
      <c:valAx>
        <c:axId val="1582476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774565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4803149606299213" l="0.70866141732283472" r="0.70866141732283472" t="0.74803149606299213" header="0.31496062992125984" footer="0.31496062992125984"/>
    <c:pageSetup orientation="landscape" blackAndWhite="1" horizontalDpi="-4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220980</xdr:colOff>
      <xdr:row>43</xdr:row>
      <xdr:rowOff>137160</xdr:rowOff>
    </xdr:from>
    <xdr:to>
      <xdr:col>22</xdr:col>
      <xdr:colOff>509644</xdr:colOff>
      <xdr:row>58</xdr:row>
      <xdr:rowOff>83372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BAA8D2AB-EDCE-443D-BE69-F7E97F4A0D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251460</xdr:colOff>
      <xdr:row>42</xdr:row>
      <xdr:rowOff>144780</xdr:rowOff>
    </xdr:from>
    <xdr:to>
      <xdr:col>32</xdr:col>
      <xdr:colOff>520402</xdr:colOff>
      <xdr:row>57</xdr:row>
      <xdr:rowOff>51235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C01DE34B-A65E-4401-9A89-C3676BA9B0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251460</xdr:colOff>
      <xdr:row>43</xdr:row>
      <xdr:rowOff>22860</xdr:rowOff>
    </xdr:from>
    <xdr:to>
      <xdr:col>40</xdr:col>
      <xdr:colOff>540124</xdr:colOff>
      <xdr:row>57</xdr:row>
      <xdr:rowOff>151952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83281B3-512B-4275-B6D5-03D4AF453D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37515-D468-46A5-AAEA-BB1FCC26AB5D}">
  <sheetPr codeName="Лист1"/>
  <dimension ref="A1:Z88"/>
  <sheetViews>
    <sheetView tabSelected="1" topLeftCell="A52" workbookViewId="0">
      <selection activeCell="V66" sqref="V66"/>
    </sheetView>
  </sheetViews>
  <sheetFormatPr defaultRowHeight="14.4" x14ac:dyDescent="0.3"/>
  <cols>
    <col min="3" max="3" width="15.88671875" customWidth="1"/>
    <col min="5" max="5" width="9.44140625" bestFit="1" customWidth="1"/>
  </cols>
  <sheetData>
    <row r="1" spans="1:14" x14ac:dyDescent="0.3">
      <c r="A1" t="s">
        <v>2</v>
      </c>
      <c r="B1" s="1">
        <v>18</v>
      </c>
      <c r="C1" s="3">
        <v>19</v>
      </c>
    </row>
    <row r="2" spans="1:14" x14ac:dyDescent="0.3">
      <c r="A2" s="1">
        <v>1.486</v>
      </c>
      <c r="B2" s="1">
        <v>-1.33</v>
      </c>
      <c r="C2" s="1">
        <v>-1.2310000000000001</v>
      </c>
      <c r="D2" s="1">
        <v>-0.38800000000000001</v>
      </c>
      <c r="E2" s="1">
        <v>-0.77800000000000002</v>
      </c>
      <c r="F2" s="1">
        <v>-2.3940000000000001</v>
      </c>
      <c r="G2" s="1">
        <v>-0.65400000000000003</v>
      </c>
      <c r="H2" s="1">
        <v>0.13400000000000001</v>
      </c>
      <c r="I2" s="1">
        <v>1.7629999999999999</v>
      </c>
      <c r="J2" s="1">
        <v>-1.052</v>
      </c>
      <c r="L2" t="s">
        <v>0</v>
      </c>
      <c r="N2" s="8"/>
    </row>
    <row r="3" spans="1:14" x14ac:dyDescent="0.3">
      <c r="A3" s="1">
        <v>-1.772</v>
      </c>
      <c r="B3" s="1">
        <v>0.40300000000000002</v>
      </c>
      <c r="C3" s="1">
        <v>0.69399999999999995</v>
      </c>
      <c r="D3" s="1">
        <v>0.308</v>
      </c>
      <c r="E3" s="1">
        <v>-0.76100000000000001</v>
      </c>
      <c r="F3" s="1">
        <v>-0.39100000000000001</v>
      </c>
      <c r="G3" s="1">
        <v>-0.80300000000000005</v>
      </c>
      <c r="H3" s="1">
        <v>-0.97599999999999998</v>
      </c>
      <c r="I3" s="1">
        <v>1.6970000000000001</v>
      </c>
      <c r="J3" s="1">
        <v>-0.64600000000000002</v>
      </c>
      <c r="N3" s="8"/>
    </row>
    <row r="4" spans="1:14" x14ac:dyDescent="0.3">
      <c r="A4" s="1">
        <v>-0.873</v>
      </c>
      <c r="B4" s="1">
        <v>1.4390000000000001</v>
      </c>
      <c r="C4" s="1">
        <v>-1.1919999999999999</v>
      </c>
      <c r="D4" s="1">
        <v>0.68100000000000005</v>
      </c>
      <c r="E4" s="1">
        <v>0.56399999999999995</v>
      </c>
      <c r="F4" s="1">
        <v>0.44</v>
      </c>
      <c r="G4" s="1">
        <v>1.3280000000000001</v>
      </c>
      <c r="H4" s="1">
        <v>0.53300000000000003</v>
      </c>
      <c r="I4" s="1">
        <v>-0.151</v>
      </c>
      <c r="J4" s="1">
        <v>-2.2090000000000001</v>
      </c>
      <c r="N4" s="8"/>
    </row>
    <row r="5" spans="1:14" x14ac:dyDescent="0.3">
      <c r="A5" s="1">
        <v>-1.5740000000000001</v>
      </c>
      <c r="B5" s="1">
        <v>-0.89200000000000002</v>
      </c>
      <c r="C5" s="1">
        <v>-9.7000000000000003E-2</v>
      </c>
      <c r="D5" s="1">
        <v>-1.347</v>
      </c>
      <c r="E5" s="1">
        <v>-0.60299999999999998</v>
      </c>
      <c r="F5" s="1">
        <v>0.88500000000000001</v>
      </c>
      <c r="G5" s="1">
        <v>-2.6230000000000002</v>
      </c>
      <c r="H5" s="1">
        <v>-0.80900000000000005</v>
      </c>
      <c r="I5" s="1">
        <v>-0.872</v>
      </c>
      <c r="J5" s="1">
        <v>0.40899999999999997</v>
      </c>
      <c r="N5" s="8"/>
    </row>
    <row r="6" spans="1:14" x14ac:dyDescent="0.3">
      <c r="A6" s="1">
        <v>-0.79500000000000004</v>
      </c>
      <c r="B6" s="1">
        <v>-0.67900000000000005</v>
      </c>
      <c r="C6" s="1">
        <v>-0.871</v>
      </c>
      <c r="D6" s="1">
        <v>-1.085</v>
      </c>
      <c r="E6" s="1">
        <v>-0.873</v>
      </c>
      <c r="F6" s="1">
        <v>0.71099999999999997</v>
      </c>
      <c r="G6" s="1">
        <v>1.2030000000000001</v>
      </c>
      <c r="H6" s="1">
        <v>1.181</v>
      </c>
      <c r="I6" s="1">
        <v>-0.86099999999999999</v>
      </c>
      <c r="J6" s="1">
        <v>0.59799999999999998</v>
      </c>
      <c r="N6" s="8"/>
    </row>
    <row r="7" spans="1:14" x14ac:dyDescent="0.3">
      <c r="A7" s="2">
        <v>-0.20300000000000001</v>
      </c>
      <c r="B7" s="2">
        <v>0.57799999999999996</v>
      </c>
      <c r="C7" s="2">
        <v>-1.2110000000000001</v>
      </c>
      <c r="D7" s="2">
        <v>-1.845</v>
      </c>
      <c r="E7" s="2">
        <v>1.357</v>
      </c>
      <c r="F7" s="2">
        <v>-0.40400000000000003</v>
      </c>
      <c r="G7" s="2">
        <v>1.266</v>
      </c>
      <c r="H7" s="2">
        <v>0.46200000000000002</v>
      </c>
      <c r="I7" s="2">
        <v>-0.85899999999999999</v>
      </c>
      <c r="J7" s="2">
        <v>1.2270000000000001</v>
      </c>
    </row>
    <row r="8" spans="1:14" x14ac:dyDescent="0.3">
      <c r="A8" s="2">
        <v>-0.85199999999999998</v>
      </c>
      <c r="B8" s="2">
        <v>0.61499999999999999</v>
      </c>
      <c r="C8" s="2">
        <v>-2.6269999999999998</v>
      </c>
      <c r="D8" s="2">
        <v>1.0109999999999999</v>
      </c>
      <c r="E8" s="2">
        <v>-0.504</v>
      </c>
      <c r="F8" s="2">
        <v>-0.38300000000000001</v>
      </c>
      <c r="G8" s="2">
        <v>1.177</v>
      </c>
      <c r="H8" s="2">
        <v>0.94199999999999995</v>
      </c>
      <c r="I8" s="2">
        <v>-2.2679999999999998</v>
      </c>
      <c r="J8" s="2">
        <v>6.9000000000000006E-2</v>
      </c>
    </row>
    <row r="9" spans="1:14" x14ac:dyDescent="0.3">
      <c r="A9" s="2">
        <v>2.1999999999999999E-2</v>
      </c>
      <c r="B9" s="2">
        <v>-1.2949999999999999</v>
      </c>
      <c r="C9" s="2">
        <v>-1.375</v>
      </c>
      <c r="D9" s="2">
        <v>1.63</v>
      </c>
      <c r="E9" s="2">
        <v>-0.70299999999999996</v>
      </c>
      <c r="F9" s="2">
        <v>0.128</v>
      </c>
      <c r="G9" s="2">
        <v>0.214</v>
      </c>
      <c r="H9" s="2">
        <v>0.41799999999999998</v>
      </c>
      <c r="I9" s="2">
        <v>1.6559999999999999</v>
      </c>
      <c r="J9" s="2">
        <v>-1.571</v>
      </c>
    </row>
    <row r="10" spans="1:14" x14ac:dyDescent="0.3">
      <c r="A10" s="2">
        <v>-0.60399999999999998</v>
      </c>
      <c r="B10" s="2">
        <v>0.95199999999999996</v>
      </c>
      <c r="C10" s="2">
        <v>2.5999999999999999E-2</v>
      </c>
      <c r="D10" s="2">
        <v>-0.161</v>
      </c>
      <c r="E10" s="2">
        <v>0.621</v>
      </c>
      <c r="F10" s="2">
        <v>1.093</v>
      </c>
      <c r="G10" s="2">
        <v>-0.46700000000000003</v>
      </c>
      <c r="H10" s="2">
        <v>0.56399999999999995</v>
      </c>
      <c r="I10" s="2">
        <v>-0.99399999999999999</v>
      </c>
      <c r="J10" s="2">
        <v>-1.802</v>
      </c>
    </row>
    <row r="11" spans="1:14" x14ac:dyDescent="0.3">
      <c r="A11" s="2">
        <v>-0.318</v>
      </c>
      <c r="B11" s="2">
        <v>-0.61899999999999999</v>
      </c>
      <c r="C11" s="2">
        <v>-0.70799999999999996</v>
      </c>
      <c r="D11" s="2">
        <v>0.36799999999999999</v>
      </c>
      <c r="E11" s="2">
        <v>-0.1</v>
      </c>
      <c r="F11" s="2">
        <v>0.47199999999999998</v>
      </c>
      <c r="G11" s="2">
        <v>-0.69899999999999995</v>
      </c>
      <c r="H11" s="2">
        <v>-0.76400000000000001</v>
      </c>
      <c r="I11" s="2">
        <v>0.34399999999999997</v>
      </c>
      <c r="J11" s="2">
        <v>1.286</v>
      </c>
    </row>
    <row r="14" spans="1:14" x14ac:dyDescent="0.3">
      <c r="A14" t="s">
        <v>1</v>
      </c>
    </row>
    <row r="15" spans="1:14" x14ac:dyDescent="0.3">
      <c r="A15" s="1">
        <v>-2.6269999999999998</v>
      </c>
      <c r="B15" s="1">
        <v>-2.6230000000000002</v>
      </c>
      <c r="C15" s="1">
        <v>-2.3940000000000001</v>
      </c>
      <c r="D15" s="1">
        <v>-2.2679999999999998</v>
      </c>
      <c r="E15" s="1">
        <v>-2.2090000000000001</v>
      </c>
      <c r="F15" s="1">
        <v>-1.845</v>
      </c>
      <c r="G15" s="1">
        <v>-1.802</v>
      </c>
      <c r="H15" s="1">
        <v>-1.772</v>
      </c>
      <c r="I15" s="1">
        <v>-1.5740000000000001</v>
      </c>
      <c r="J15" s="1">
        <v>-1.571</v>
      </c>
    </row>
    <row r="16" spans="1:14" x14ac:dyDescent="0.3">
      <c r="A16" s="1">
        <v>-1.375</v>
      </c>
      <c r="B16" s="1">
        <v>-1.347</v>
      </c>
      <c r="C16" s="1">
        <v>-1.33</v>
      </c>
      <c r="D16" s="1">
        <v>-1.2949999999999999</v>
      </c>
      <c r="E16" s="1">
        <v>-1.2310000000000001</v>
      </c>
      <c r="F16" s="1">
        <v>-1.2110000000000001</v>
      </c>
      <c r="G16" s="1">
        <v>-1.1919999999999999</v>
      </c>
      <c r="H16" s="1">
        <v>-1.085</v>
      </c>
      <c r="I16" s="1">
        <v>-1.052</v>
      </c>
      <c r="J16" s="1">
        <v>-0.99399999999999999</v>
      </c>
    </row>
    <row r="17" spans="1:26" x14ac:dyDescent="0.3">
      <c r="A17" s="1">
        <v>-0.97599999999999998</v>
      </c>
      <c r="B17" s="1">
        <v>-0.89200000000000002</v>
      </c>
      <c r="C17" s="1">
        <v>-0.873</v>
      </c>
      <c r="D17" s="1">
        <v>-0.873</v>
      </c>
      <c r="E17" s="1">
        <v>-0.872</v>
      </c>
      <c r="F17" s="1">
        <v>-0.871</v>
      </c>
      <c r="G17" s="1">
        <v>-0.86099999999999999</v>
      </c>
      <c r="H17" s="1">
        <v>-0.85899999999999999</v>
      </c>
      <c r="I17" s="1">
        <v>-0.85199999999999998</v>
      </c>
      <c r="J17" s="1">
        <v>-0.80900000000000005</v>
      </c>
    </row>
    <row r="18" spans="1:26" x14ac:dyDescent="0.3">
      <c r="A18" s="1">
        <v>-0.80300000000000005</v>
      </c>
      <c r="B18" s="1">
        <v>-0.79500000000000004</v>
      </c>
      <c r="C18" s="1">
        <v>-0.77800000000000002</v>
      </c>
      <c r="D18" s="1">
        <v>-0.76400000000000001</v>
      </c>
      <c r="E18" s="1">
        <v>-0.76100000000000001</v>
      </c>
      <c r="F18" s="1">
        <v>-0.70799999999999996</v>
      </c>
      <c r="G18" s="1">
        <v>-0.70299999999999996</v>
      </c>
      <c r="H18" s="1">
        <v>-0.69899999999999995</v>
      </c>
      <c r="I18" s="1">
        <v>-0.67900000000000005</v>
      </c>
      <c r="J18" s="1">
        <v>-0.65400000000000003</v>
      </c>
    </row>
    <row r="19" spans="1:26" x14ac:dyDescent="0.3">
      <c r="A19" s="1">
        <v>-0.64600000000000002</v>
      </c>
      <c r="B19" s="1">
        <v>-0.61899999999999999</v>
      </c>
      <c r="C19" s="1">
        <v>-0.60399999999999998</v>
      </c>
      <c r="D19" s="1">
        <v>-0.60299999999999998</v>
      </c>
      <c r="E19" s="1">
        <v>-0.504</v>
      </c>
      <c r="F19" s="1">
        <v>-0.46700000000000003</v>
      </c>
      <c r="G19" s="1">
        <v>-0.40400000000000003</v>
      </c>
      <c r="H19" s="1">
        <v>-0.39100000000000001</v>
      </c>
      <c r="I19" s="1">
        <v>-0.38800000000000001</v>
      </c>
      <c r="J19" s="1">
        <v>-0.38300000000000001</v>
      </c>
    </row>
    <row r="20" spans="1:26" x14ac:dyDescent="0.3">
      <c r="A20" s="2">
        <v>-0.318</v>
      </c>
      <c r="B20" s="2">
        <v>-0.20300000000000001</v>
      </c>
      <c r="C20" s="2">
        <v>-0.161</v>
      </c>
      <c r="D20" s="2">
        <v>-0.151</v>
      </c>
      <c r="E20" s="2">
        <v>-0.1</v>
      </c>
      <c r="F20" s="2">
        <v>-9.7000000000000003E-2</v>
      </c>
      <c r="G20" s="2">
        <v>2.1999999999999999E-2</v>
      </c>
      <c r="H20" s="2">
        <v>2.5999999999999999E-2</v>
      </c>
      <c r="I20" s="2">
        <v>6.9000000000000006E-2</v>
      </c>
      <c r="J20" s="2">
        <v>0.128</v>
      </c>
    </row>
    <row r="21" spans="1:26" x14ac:dyDescent="0.3">
      <c r="A21" s="2">
        <v>0.13400000000000001</v>
      </c>
      <c r="B21" s="2">
        <v>0.214</v>
      </c>
      <c r="C21" s="2">
        <v>0.308</v>
      </c>
      <c r="D21" s="2">
        <v>0.34399999999999997</v>
      </c>
      <c r="E21" s="2">
        <v>0.36799999999999999</v>
      </c>
      <c r="F21" s="2">
        <v>0.40300000000000002</v>
      </c>
      <c r="G21" s="2">
        <v>0.40899999999999997</v>
      </c>
      <c r="H21" s="2">
        <v>0.41799999999999998</v>
      </c>
      <c r="I21" s="2">
        <v>0.44</v>
      </c>
      <c r="J21" s="2">
        <v>0.46200000000000002</v>
      </c>
    </row>
    <row r="22" spans="1:26" x14ac:dyDescent="0.3">
      <c r="A22" s="2">
        <v>0.47199999999999998</v>
      </c>
      <c r="B22" s="2">
        <v>0.53300000000000003</v>
      </c>
      <c r="C22" s="2">
        <v>0.56399999999999995</v>
      </c>
      <c r="D22" s="2">
        <v>0.56399999999999995</v>
      </c>
      <c r="E22" s="2">
        <v>0.57799999999999996</v>
      </c>
      <c r="F22" s="2">
        <v>0.59799999999999998</v>
      </c>
      <c r="G22" s="2">
        <v>0.61499999999999999</v>
      </c>
      <c r="H22" s="2">
        <v>0.621</v>
      </c>
      <c r="I22" s="2">
        <v>0.68100000000000005</v>
      </c>
      <c r="J22" s="2">
        <v>0.69399999999999995</v>
      </c>
    </row>
    <row r="23" spans="1:26" x14ac:dyDescent="0.3">
      <c r="A23" s="2">
        <v>0.71099999999999997</v>
      </c>
      <c r="B23" s="2">
        <v>0.88500000000000001</v>
      </c>
      <c r="C23" s="2">
        <v>0.94199999999999995</v>
      </c>
      <c r="D23" s="2">
        <v>0.95199999999999996</v>
      </c>
      <c r="E23" s="2">
        <v>1.0109999999999999</v>
      </c>
      <c r="F23" s="2">
        <v>1.093</v>
      </c>
      <c r="G23" s="2">
        <v>1.177</v>
      </c>
      <c r="H23" s="2">
        <v>1.181</v>
      </c>
      <c r="I23" s="2">
        <v>1.2030000000000001</v>
      </c>
      <c r="J23" s="2">
        <v>1.2270000000000001</v>
      </c>
    </row>
    <row r="24" spans="1:26" x14ac:dyDescent="0.3">
      <c r="A24" s="2">
        <v>1.266</v>
      </c>
      <c r="B24" s="2">
        <v>1.286</v>
      </c>
      <c r="C24" s="2">
        <v>1.3280000000000001</v>
      </c>
      <c r="D24" s="2">
        <v>1.357</v>
      </c>
      <c r="E24" s="2">
        <v>1.4390000000000001</v>
      </c>
      <c r="F24" s="2">
        <v>1.486</v>
      </c>
      <c r="G24" s="2">
        <v>1.63</v>
      </c>
      <c r="H24" s="2">
        <v>1.6559999999999999</v>
      </c>
      <c r="I24" s="2">
        <v>1.6970000000000001</v>
      </c>
      <c r="J24" s="2">
        <v>1.7629999999999999</v>
      </c>
    </row>
    <row r="25" spans="1:26" x14ac:dyDescent="0.3">
      <c r="N25" t="s">
        <v>18</v>
      </c>
    </row>
    <row r="27" spans="1:26" x14ac:dyDescent="0.3">
      <c r="A27" t="s">
        <v>9</v>
      </c>
      <c r="B27">
        <f>A15</f>
        <v>-2.6269999999999998</v>
      </c>
      <c r="D27">
        <v>12</v>
      </c>
      <c r="E27" t="s">
        <v>3</v>
      </c>
      <c r="L27" t="s">
        <v>11</v>
      </c>
      <c r="Z27" t="s">
        <v>35</v>
      </c>
    </row>
    <row r="28" spans="1:26" x14ac:dyDescent="0.3">
      <c r="A28" t="s">
        <v>10</v>
      </c>
      <c r="B28">
        <f>J24</f>
        <v>1.7629999999999999</v>
      </c>
      <c r="D28" t="s">
        <v>4</v>
      </c>
      <c r="E28" s="5">
        <f>(B28-B27)/D27</f>
        <v>0.36583333333333329</v>
      </c>
      <c r="F28" t="s">
        <v>6</v>
      </c>
      <c r="L28" t="s">
        <v>12</v>
      </c>
      <c r="N28" t="s">
        <v>13</v>
      </c>
      <c r="O28" t="s">
        <v>14</v>
      </c>
      <c r="P28" t="s">
        <v>15</v>
      </c>
      <c r="Q28" t="s">
        <v>16</v>
      </c>
      <c r="R28" t="s">
        <v>17</v>
      </c>
      <c r="S28" t="s">
        <v>20</v>
      </c>
      <c r="V28" t="s">
        <v>21</v>
      </c>
      <c r="Y28" t="s">
        <v>34</v>
      </c>
      <c r="Z28" t="s">
        <v>33</v>
      </c>
    </row>
    <row r="29" spans="1:26" x14ac:dyDescent="0.3">
      <c r="L29">
        <v>1</v>
      </c>
      <c r="N29">
        <v>-2.6</v>
      </c>
      <c r="O29" s="5">
        <f>N29+E28</f>
        <v>-2.2341666666666669</v>
      </c>
      <c r="P29" s="5">
        <f>(N29+O29)/2</f>
        <v>-2.4170833333333333</v>
      </c>
      <c r="Q29">
        <f>COUNTIFS($A$15:$J$24, _xlfn.CONCAT("&gt;=", N29), $A$15:$J$24, _xlfn.CONCAT("&lt;=", O29))</f>
        <v>2</v>
      </c>
      <c r="R29">
        <f>Q29/100</f>
        <v>0.02</v>
      </c>
      <c r="S29" s="4">
        <f>R29/$E$28</f>
        <v>5.4669703872437365E-2</v>
      </c>
      <c r="V29" t="s">
        <v>22</v>
      </c>
      <c r="Y29">
        <v>-2.6</v>
      </c>
      <c r="Z29">
        <v>0</v>
      </c>
    </row>
    <row r="30" spans="1:26" x14ac:dyDescent="0.3">
      <c r="D30" t="s">
        <v>5</v>
      </c>
      <c r="F30" s="5">
        <f>D27*E28</f>
        <v>4.3899999999999997</v>
      </c>
      <c r="L30">
        <v>2</v>
      </c>
      <c r="N30" s="5">
        <f>O29</f>
        <v>-2.2341666666666669</v>
      </c>
      <c r="O30" s="5">
        <f>N30+$E$28</f>
        <v>-1.8683333333333336</v>
      </c>
      <c r="P30" s="5">
        <f t="shared" ref="P30:P40" si="0">(N30+O30)/2</f>
        <v>-2.0512500000000005</v>
      </c>
      <c r="Q30">
        <f>COUNTIFS($A$15:$J$24, _xlfn.CONCAT("&gt;=", N30), $A$15:$J$24, _xlfn.CONCAT("&lt;", O30))</f>
        <v>1</v>
      </c>
      <c r="R30">
        <f t="shared" ref="R30:R40" si="1">Q30/100</f>
        <v>0.01</v>
      </c>
      <c r="S30" s="4">
        <f t="shared" ref="S30:S40" si="2">R30/$E$28</f>
        <v>2.7334851936218683E-2</v>
      </c>
      <c r="V30" s="7" t="s">
        <v>36</v>
      </c>
      <c r="X30" s="4"/>
      <c r="Y30">
        <v>-2.2000000000000002</v>
      </c>
      <c r="Z30">
        <f>Q29/100</f>
        <v>0.02</v>
      </c>
    </row>
    <row r="31" spans="1:26" x14ac:dyDescent="0.3">
      <c r="D31" t="s">
        <v>7</v>
      </c>
      <c r="E31">
        <v>-2.6</v>
      </c>
      <c r="L31">
        <v>3</v>
      </c>
      <c r="N31" s="5">
        <f t="shared" ref="N31:N40" si="3">O30</f>
        <v>-1.8683333333333336</v>
      </c>
      <c r="O31" s="5">
        <f t="shared" ref="O31:O40" si="4">N31+$E$28</f>
        <v>-1.5025000000000004</v>
      </c>
      <c r="P31" s="5">
        <f t="shared" si="0"/>
        <v>-1.685416666666667</v>
      </c>
      <c r="Q31">
        <f t="shared" ref="Q31:Q39" si="5">COUNTIFS($A$15:$J$24, _xlfn.CONCAT("&gt;=", N31), $A$15:$J$24, _xlfn.CONCAT("&lt;", O31))</f>
        <v>5</v>
      </c>
      <c r="R31">
        <f t="shared" si="1"/>
        <v>0.05</v>
      </c>
      <c r="S31" s="4">
        <f t="shared" si="2"/>
        <v>0.13667425968109342</v>
      </c>
      <c r="V31" s="7" t="s">
        <v>24</v>
      </c>
      <c r="X31" s="4"/>
      <c r="Y31">
        <v>-1.9</v>
      </c>
      <c r="Z31">
        <f>Q30/100+Z30</f>
        <v>0.03</v>
      </c>
    </row>
    <row r="32" spans="1:26" x14ac:dyDescent="0.3">
      <c r="D32" t="s">
        <v>8</v>
      </c>
      <c r="E32" s="6">
        <f>E31+F30</f>
        <v>1.7899999999999996</v>
      </c>
      <c r="L32">
        <v>4</v>
      </c>
      <c r="N32" s="5">
        <f t="shared" si="3"/>
        <v>-1.5025000000000004</v>
      </c>
      <c r="O32" s="5">
        <f t="shared" si="4"/>
        <v>-1.1366666666666672</v>
      </c>
      <c r="P32" s="5">
        <f t="shared" si="0"/>
        <v>-1.3195833333333338</v>
      </c>
      <c r="Q32">
        <f t="shared" si="5"/>
        <v>7</v>
      </c>
      <c r="R32">
        <f t="shared" si="1"/>
        <v>7.0000000000000007E-2</v>
      </c>
      <c r="S32" s="4">
        <f t="shared" si="2"/>
        <v>0.19134396355353078</v>
      </c>
      <c r="V32" s="7" t="s">
        <v>23</v>
      </c>
      <c r="X32" s="4"/>
      <c r="Y32">
        <v>-1.5</v>
      </c>
      <c r="Z32">
        <f t="shared" ref="Z32:Z41" si="6">Q31/100+Z31</f>
        <v>0.08</v>
      </c>
    </row>
    <row r="33" spans="12:26" x14ac:dyDescent="0.3">
      <c r="L33">
        <v>5</v>
      </c>
      <c r="N33" s="5">
        <f t="shared" si="3"/>
        <v>-1.1366666666666672</v>
      </c>
      <c r="O33" s="5">
        <f t="shared" si="4"/>
        <v>-0.77083333333333393</v>
      </c>
      <c r="P33" s="5">
        <f t="shared" si="0"/>
        <v>-0.95375000000000054</v>
      </c>
      <c r="Q33">
        <f t="shared" si="5"/>
        <v>16</v>
      </c>
      <c r="R33">
        <f t="shared" si="1"/>
        <v>0.16</v>
      </c>
      <c r="S33" s="4">
        <f t="shared" si="2"/>
        <v>0.43735763097949892</v>
      </c>
      <c r="V33" s="7" t="s">
        <v>25</v>
      </c>
      <c r="X33" s="4"/>
      <c r="Y33">
        <v>-1.1000000000000001</v>
      </c>
      <c r="Z33">
        <f t="shared" si="6"/>
        <v>0.15000000000000002</v>
      </c>
    </row>
    <row r="34" spans="12:26" x14ac:dyDescent="0.3">
      <c r="L34">
        <v>6</v>
      </c>
      <c r="N34" s="5">
        <f t="shared" si="3"/>
        <v>-0.77083333333333393</v>
      </c>
      <c r="O34" s="5">
        <f t="shared" si="4"/>
        <v>-0.40500000000000064</v>
      </c>
      <c r="P34" s="5">
        <f t="shared" si="0"/>
        <v>-0.58791666666666731</v>
      </c>
      <c r="Q34">
        <f t="shared" si="5"/>
        <v>13</v>
      </c>
      <c r="R34">
        <f t="shared" si="1"/>
        <v>0.13</v>
      </c>
      <c r="S34" s="4">
        <f t="shared" si="2"/>
        <v>0.35535307517084286</v>
      </c>
      <c r="V34" s="7" t="s">
        <v>26</v>
      </c>
      <c r="X34" s="4"/>
      <c r="Y34">
        <v>-0.8</v>
      </c>
      <c r="Z34">
        <f t="shared" si="6"/>
        <v>0.31000000000000005</v>
      </c>
    </row>
    <row r="35" spans="12:26" x14ac:dyDescent="0.3">
      <c r="L35">
        <v>7</v>
      </c>
      <c r="N35" s="5">
        <f t="shared" si="3"/>
        <v>-0.40500000000000064</v>
      </c>
      <c r="O35" s="5">
        <f t="shared" si="4"/>
        <v>-3.9166666666667349E-2</v>
      </c>
      <c r="P35" s="5">
        <f t="shared" si="0"/>
        <v>-0.22208333333333399</v>
      </c>
      <c r="Q35">
        <f t="shared" si="5"/>
        <v>10</v>
      </c>
      <c r="R35">
        <f t="shared" si="1"/>
        <v>0.1</v>
      </c>
      <c r="S35" s="4">
        <f t="shared" si="2"/>
        <v>0.27334851936218685</v>
      </c>
      <c r="V35" s="7" t="s">
        <v>27</v>
      </c>
      <c r="X35" s="4"/>
      <c r="Y35">
        <v>-0.4</v>
      </c>
      <c r="Z35">
        <f t="shared" si="6"/>
        <v>0.44000000000000006</v>
      </c>
    </row>
    <row r="36" spans="12:26" x14ac:dyDescent="0.3">
      <c r="L36">
        <v>8</v>
      </c>
      <c r="N36" s="5">
        <f t="shared" si="3"/>
        <v>-3.9166666666667349E-2</v>
      </c>
      <c r="O36" s="5">
        <f t="shared" si="4"/>
        <v>0.32666666666666594</v>
      </c>
      <c r="P36" s="5">
        <f t="shared" si="0"/>
        <v>0.1437499999999993</v>
      </c>
      <c r="Q36">
        <f t="shared" si="5"/>
        <v>7</v>
      </c>
      <c r="R36">
        <f t="shared" si="1"/>
        <v>7.0000000000000007E-2</v>
      </c>
      <c r="S36" s="4">
        <f t="shared" si="2"/>
        <v>0.19134396355353078</v>
      </c>
      <c r="V36" s="7" t="s">
        <v>28</v>
      </c>
      <c r="X36" s="4"/>
      <c r="Y36">
        <v>0</v>
      </c>
      <c r="Z36">
        <f t="shared" si="6"/>
        <v>0.54</v>
      </c>
    </row>
    <row r="37" spans="12:26" x14ac:dyDescent="0.3">
      <c r="L37">
        <v>9</v>
      </c>
      <c r="N37" s="5">
        <f t="shared" si="3"/>
        <v>0.32666666666666594</v>
      </c>
      <c r="O37" s="5">
        <f t="shared" si="4"/>
        <v>0.69249999999999923</v>
      </c>
      <c r="P37" s="5">
        <f t="shared" si="0"/>
        <v>0.50958333333333261</v>
      </c>
      <c r="Q37">
        <f t="shared" si="5"/>
        <v>16</v>
      </c>
      <c r="R37">
        <f t="shared" si="1"/>
        <v>0.16</v>
      </c>
      <c r="S37" s="4">
        <f t="shared" si="2"/>
        <v>0.43735763097949892</v>
      </c>
      <c r="V37" s="7" t="s">
        <v>29</v>
      </c>
      <c r="X37" s="4"/>
      <c r="Y37">
        <v>0.3</v>
      </c>
      <c r="Z37">
        <f t="shared" si="6"/>
        <v>0.6100000000000001</v>
      </c>
    </row>
    <row r="38" spans="12:26" x14ac:dyDescent="0.3">
      <c r="L38">
        <v>10</v>
      </c>
      <c r="N38" s="5">
        <f t="shared" si="3"/>
        <v>0.69249999999999923</v>
      </c>
      <c r="O38" s="5">
        <f t="shared" si="4"/>
        <v>1.0583333333333325</v>
      </c>
      <c r="P38" s="5">
        <f t="shared" si="0"/>
        <v>0.87541666666666584</v>
      </c>
      <c r="Q38">
        <f t="shared" si="5"/>
        <v>6</v>
      </c>
      <c r="R38">
        <f t="shared" si="1"/>
        <v>0.06</v>
      </c>
      <c r="S38" s="4">
        <f t="shared" si="2"/>
        <v>0.16400911161731208</v>
      </c>
      <c r="V38" s="7" t="s">
        <v>30</v>
      </c>
      <c r="X38" s="4"/>
      <c r="Y38">
        <v>0.7</v>
      </c>
      <c r="Z38">
        <f t="shared" si="6"/>
        <v>0.77000000000000013</v>
      </c>
    </row>
    <row r="39" spans="12:26" x14ac:dyDescent="0.3">
      <c r="L39">
        <v>11</v>
      </c>
      <c r="N39" s="5">
        <f t="shared" si="3"/>
        <v>1.0583333333333325</v>
      </c>
      <c r="O39" s="5">
        <f t="shared" si="4"/>
        <v>1.4241666666666657</v>
      </c>
      <c r="P39" s="5">
        <f t="shared" si="0"/>
        <v>1.2412499999999991</v>
      </c>
      <c r="Q39">
        <f t="shared" si="5"/>
        <v>9</v>
      </c>
      <c r="R39">
        <f t="shared" si="1"/>
        <v>0.09</v>
      </c>
      <c r="S39" s="4">
        <f t="shared" si="2"/>
        <v>0.24601366742596814</v>
      </c>
      <c r="V39" s="7" t="s">
        <v>31</v>
      </c>
      <c r="X39" s="4"/>
      <c r="Y39">
        <v>1.1000000000000001</v>
      </c>
      <c r="Z39">
        <f t="shared" si="6"/>
        <v>0.83000000000000007</v>
      </c>
    </row>
    <row r="40" spans="12:26" x14ac:dyDescent="0.3">
      <c r="L40">
        <v>12</v>
      </c>
      <c r="N40" s="5">
        <f t="shared" si="3"/>
        <v>1.4241666666666657</v>
      </c>
      <c r="O40" s="5">
        <f t="shared" si="4"/>
        <v>1.7899999999999989</v>
      </c>
      <c r="P40" s="5">
        <f t="shared" si="0"/>
        <v>1.6070833333333323</v>
      </c>
      <c r="Q40">
        <v>8</v>
      </c>
      <c r="R40">
        <f t="shared" si="1"/>
        <v>0.08</v>
      </c>
      <c r="S40" s="4">
        <f t="shared" si="2"/>
        <v>0.21867881548974946</v>
      </c>
      <c r="V40" s="7" t="s">
        <v>32</v>
      </c>
      <c r="X40" s="4"/>
      <c r="Y40">
        <v>1.4</v>
      </c>
      <c r="Z40">
        <f t="shared" si="6"/>
        <v>0.92</v>
      </c>
    </row>
    <row r="41" spans="12:26" x14ac:dyDescent="0.3">
      <c r="L41" t="s">
        <v>19</v>
      </c>
      <c r="Q41">
        <f>SUM(Q29:Q40)</f>
        <v>100</v>
      </c>
      <c r="R41">
        <f>SUM(R29:R40)</f>
        <v>1</v>
      </c>
      <c r="V41" s="7" t="s">
        <v>37</v>
      </c>
      <c r="X41" s="4"/>
      <c r="Y41">
        <v>1.8</v>
      </c>
      <c r="Z41">
        <f t="shared" si="6"/>
        <v>1</v>
      </c>
    </row>
    <row r="63" spans="3:3" x14ac:dyDescent="0.3">
      <c r="C63" t="s">
        <v>38</v>
      </c>
    </row>
    <row r="64" spans="3:3" x14ac:dyDescent="0.3">
      <c r="C64" t="s">
        <v>46</v>
      </c>
    </row>
    <row r="65" spans="2:18" x14ac:dyDescent="0.3">
      <c r="C65" t="s">
        <v>12</v>
      </c>
      <c r="D65">
        <v>1</v>
      </c>
      <c r="E65">
        <v>2</v>
      </c>
      <c r="F65">
        <v>3</v>
      </c>
      <c r="G65">
        <v>4</v>
      </c>
      <c r="H65">
        <v>5</v>
      </c>
      <c r="I65">
        <v>6</v>
      </c>
      <c r="J65">
        <v>7</v>
      </c>
      <c r="K65">
        <v>8</v>
      </c>
      <c r="L65">
        <v>9</v>
      </c>
      <c r="M65">
        <v>10</v>
      </c>
      <c r="N65">
        <v>11</v>
      </c>
      <c r="O65">
        <v>12</v>
      </c>
      <c r="P65" t="s">
        <v>42</v>
      </c>
    </row>
    <row r="66" spans="2:18" x14ac:dyDescent="0.3">
      <c r="C66" t="s">
        <v>15</v>
      </c>
      <c r="D66" s="5">
        <f>P29</f>
        <v>-2.4170833333333333</v>
      </c>
      <c r="E66" s="5">
        <f>P30</f>
        <v>-2.0512500000000005</v>
      </c>
      <c r="F66" s="5">
        <f>P31</f>
        <v>-1.685416666666667</v>
      </c>
      <c r="G66" s="5">
        <f>P32</f>
        <v>-1.3195833333333338</v>
      </c>
      <c r="H66" s="5">
        <f>P33</f>
        <v>-0.95375000000000054</v>
      </c>
      <c r="I66" s="5">
        <f>P34</f>
        <v>-0.58791666666666731</v>
      </c>
      <c r="J66" s="5">
        <f>P35</f>
        <v>-0.22208333333333399</v>
      </c>
      <c r="K66" s="5">
        <f>P36</f>
        <v>0.1437499999999993</v>
      </c>
      <c r="L66" s="5">
        <f>P37</f>
        <v>0.50958333333333261</v>
      </c>
      <c r="M66" s="5">
        <f>P38</f>
        <v>0.87541666666666584</v>
      </c>
      <c r="N66" s="5">
        <f>P39</f>
        <v>1.2412499999999991</v>
      </c>
      <c r="O66" s="5">
        <f>P40</f>
        <v>1.6070833333333323</v>
      </c>
    </row>
    <row r="67" spans="2:18" x14ac:dyDescent="0.3">
      <c r="C67" t="s">
        <v>39</v>
      </c>
      <c r="D67">
        <f>R29</f>
        <v>0.02</v>
      </c>
      <c r="E67">
        <f>R30</f>
        <v>0.01</v>
      </c>
      <c r="F67">
        <f>R31</f>
        <v>0.05</v>
      </c>
      <c r="G67">
        <f>R32</f>
        <v>7.0000000000000007E-2</v>
      </c>
      <c r="H67">
        <f>R33</f>
        <v>0.16</v>
      </c>
      <c r="I67">
        <f>R34</f>
        <v>0.13</v>
      </c>
      <c r="J67">
        <f>R35</f>
        <v>0.1</v>
      </c>
      <c r="K67">
        <f>R36</f>
        <v>7.0000000000000007E-2</v>
      </c>
      <c r="L67">
        <f>R37</f>
        <v>0.16</v>
      </c>
      <c r="M67">
        <f>R38</f>
        <v>0.06</v>
      </c>
      <c r="N67">
        <f>R39</f>
        <v>0.09</v>
      </c>
      <c r="O67">
        <f>R40</f>
        <v>0.08</v>
      </c>
    </row>
    <row r="68" spans="2:18" x14ac:dyDescent="0.3">
      <c r="C68" t="s">
        <v>40</v>
      </c>
      <c r="D68" s="4">
        <f>D66*D67</f>
        <v>-4.8341666666666665E-2</v>
      </c>
      <c r="E68" s="4">
        <f t="shared" ref="E68:O68" si="7">E66*E67</f>
        <v>-2.0512500000000006E-2</v>
      </c>
      <c r="F68" s="4">
        <f t="shared" si="7"/>
        <v>-8.427083333333335E-2</v>
      </c>
      <c r="G68" s="4">
        <f t="shared" si="7"/>
        <v>-9.2370833333333374E-2</v>
      </c>
      <c r="H68" s="4">
        <f t="shared" si="7"/>
        <v>-0.1526000000000001</v>
      </c>
      <c r="I68" s="4">
        <f t="shared" si="7"/>
        <v>-7.6429166666666756E-2</v>
      </c>
      <c r="J68" s="4">
        <f t="shared" si="7"/>
        <v>-2.2208333333333399E-2</v>
      </c>
      <c r="K68" s="4">
        <f t="shared" si="7"/>
        <v>1.0062499999999952E-2</v>
      </c>
      <c r="L68" s="4">
        <f t="shared" si="7"/>
        <v>8.1533333333333222E-2</v>
      </c>
      <c r="M68" s="4">
        <f t="shared" si="7"/>
        <v>5.2524999999999947E-2</v>
      </c>
      <c r="N68" s="4">
        <f t="shared" si="7"/>
        <v>0.11171249999999991</v>
      </c>
      <c r="O68" s="4">
        <f t="shared" si="7"/>
        <v>0.12856666666666658</v>
      </c>
      <c r="P68" s="9">
        <f>SUM(D68:O68)</f>
        <v>-0.11233333333333401</v>
      </c>
      <c r="Q68" t="s">
        <v>45</v>
      </c>
    </row>
    <row r="69" spans="2:18" x14ac:dyDescent="0.3">
      <c r="C69" t="s">
        <v>41</v>
      </c>
      <c r="D69" s="4">
        <f>D66*D66*D67</f>
        <v>0.11684583680555555</v>
      </c>
      <c r="E69" s="4">
        <f t="shared" ref="E69:O69" si="8">E66*E66*E67</f>
        <v>4.2076265625000019E-2</v>
      </c>
      <c r="F69" s="4">
        <f t="shared" si="8"/>
        <v>0.14203146701388897</v>
      </c>
      <c r="G69" s="4">
        <f t="shared" si="8"/>
        <v>0.12189101215277787</v>
      </c>
      <c r="H69" s="4">
        <f t="shared" si="8"/>
        <v>0.14554225000000018</v>
      </c>
      <c r="I69" s="4">
        <f t="shared" si="8"/>
        <v>4.4933980902777879E-2</v>
      </c>
      <c r="J69" s="4">
        <f t="shared" si="8"/>
        <v>4.9321006944444742E-3</v>
      </c>
      <c r="K69" s="4">
        <f t="shared" si="8"/>
        <v>1.446484374999986E-3</v>
      </c>
      <c r="L69" s="4">
        <f>L66*L66*L67</f>
        <v>4.1548027777777656E-2</v>
      </c>
      <c r="M69" s="4">
        <f t="shared" si="8"/>
        <v>4.5981260416666579E-2</v>
      </c>
      <c r="N69" s="4">
        <f t="shared" si="8"/>
        <v>0.13866314062499979</v>
      </c>
      <c r="O69" s="4">
        <f t="shared" si="8"/>
        <v>0.20661734722222197</v>
      </c>
      <c r="P69" s="4">
        <f>SUM(D69:O69)</f>
        <v>1.052509173611111</v>
      </c>
      <c r="Q69" t="s">
        <v>44</v>
      </c>
    </row>
    <row r="72" spans="2:18" ht="15" thickBot="1" x14ac:dyDescent="0.35">
      <c r="B72" t="s">
        <v>57</v>
      </c>
    </row>
    <row r="73" spans="2:18" x14ac:dyDescent="0.3">
      <c r="B73" s="10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2"/>
    </row>
    <row r="74" spans="2:18" x14ac:dyDescent="0.3">
      <c r="B74" s="13"/>
      <c r="C74" s="14" t="s">
        <v>43</v>
      </c>
      <c r="D74" s="14"/>
      <c r="E74" s="14">
        <v>0.95</v>
      </c>
      <c r="F74" s="14"/>
      <c r="G74" s="14" t="s">
        <v>50</v>
      </c>
      <c r="H74" s="14">
        <v>1.95</v>
      </c>
      <c r="I74" s="14"/>
      <c r="J74" s="14" t="s">
        <v>51</v>
      </c>
      <c r="K74" s="14">
        <v>0.97499999999999998</v>
      </c>
      <c r="L74" s="14"/>
      <c r="M74" s="14"/>
      <c r="N74" s="14"/>
      <c r="O74" s="14"/>
      <c r="P74" s="14"/>
      <c r="Q74" s="14"/>
      <c r="R74" s="15"/>
    </row>
    <row r="75" spans="2:18" x14ac:dyDescent="0.3">
      <c r="B75" s="13"/>
      <c r="C75" s="14" t="s">
        <v>45</v>
      </c>
      <c r="D75" s="16">
        <f>P68</f>
        <v>-0.11233333333333401</v>
      </c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5"/>
    </row>
    <row r="76" spans="2:18" x14ac:dyDescent="0.3">
      <c r="B76" s="13"/>
      <c r="C76" s="14" t="s">
        <v>47</v>
      </c>
      <c r="D76" s="16">
        <f>P69-D75*D75</f>
        <v>1.039890395833333</v>
      </c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5"/>
    </row>
    <row r="77" spans="2:18" x14ac:dyDescent="0.3">
      <c r="B77" s="13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5"/>
    </row>
    <row r="78" spans="2:18" x14ac:dyDescent="0.3">
      <c r="B78" s="13"/>
      <c r="C78" s="14" t="s">
        <v>48</v>
      </c>
      <c r="D78" s="14"/>
      <c r="E78" s="14"/>
      <c r="F78" s="14"/>
      <c r="G78" s="14"/>
      <c r="H78" s="14"/>
      <c r="I78" s="14" t="s">
        <v>52</v>
      </c>
      <c r="J78" s="14"/>
      <c r="K78" s="14"/>
      <c r="L78" s="14"/>
      <c r="M78" s="14"/>
      <c r="N78" s="14"/>
      <c r="O78" s="14"/>
      <c r="P78" s="14"/>
      <c r="Q78" s="14"/>
      <c r="R78" s="15"/>
    </row>
    <row r="79" spans="2:18" x14ac:dyDescent="0.3">
      <c r="B79" s="13"/>
      <c r="C79" s="14" t="s">
        <v>45</v>
      </c>
      <c r="D79" s="17">
        <f>D75</f>
        <v>-0.11233333333333401</v>
      </c>
      <c r="E79" s="14"/>
      <c r="F79" s="14"/>
      <c r="G79" s="14"/>
      <c r="H79" s="14"/>
      <c r="I79" s="14" t="s">
        <v>53</v>
      </c>
      <c r="J79" s="14"/>
      <c r="K79" s="16">
        <f>D75-H74*(SQRT(D80)/10)</f>
        <v>-0.31118461520388796</v>
      </c>
      <c r="L79" s="14"/>
      <c r="M79" s="14"/>
      <c r="N79" s="14"/>
      <c r="O79" s="14"/>
      <c r="P79" s="14"/>
      <c r="Q79" s="14"/>
      <c r="R79" s="15"/>
    </row>
    <row r="80" spans="2:18" x14ac:dyDescent="0.3">
      <c r="B80" s="13"/>
      <c r="C80" s="14" t="s">
        <v>49</v>
      </c>
      <c r="D80" s="17">
        <f>D76</f>
        <v>1.039890395833333</v>
      </c>
      <c r="E80" s="14"/>
      <c r="F80" s="14"/>
      <c r="G80" s="14"/>
      <c r="H80" s="14"/>
      <c r="I80" s="14" t="s">
        <v>54</v>
      </c>
      <c r="J80" s="14"/>
      <c r="K80" s="16">
        <f>D75+H74*(SQRT(D80)/10)</f>
        <v>8.6517948537219919E-2</v>
      </c>
      <c r="L80" s="14"/>
      <c r="M80" s="14"/>
      <c r="N80" s="14"/>
      <c r="O80" s="14"/>
      <c r="P80" s="14"/>
      <c r="Q80" s="14"/>
      <c r="R80" s="15"/>
    </row>
    <row r="81" spans="2:18" x14ac:dyDescent="0.3">
      <c r="B81" s="13"/>
      <c r="C81" s="14"/>
      <c r="D81" s="14"/>
      <c r="E81" s="14"/>
      <c r="F81" s="14"/>
      <c r="G81" s="14"/>
      <c r="H81" s="14"/>
      <c r="I81" s="14" t="s">
        <v>55</v>
      </c>
      <c r="J81" s="14"/>
      <c r="K81" s="14"/>
      <c r="L81" s="14"/>
      <c r="M81" s="14"/>
      <c r="N81" s="14"/>
      <c r="O81" s="18" t="s">
        <v>56</v>
      </c>
      <c r="P81" s="14"/>
      <c r="Q81" s="14"/>
      <c r="R81" s="15"/>
    </row>
    <row r="82" spans="2:18" x14ac:dyDescent="0.3">
      <c r="B82" s="13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5"/>
    </row>
    <row r="83" spans="2:18" x14ac:dyDescent="0.3">
      <c r="B83" s="13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5"/>
    </row>
    <row r="84" spans="2:18" x14ac:dyDescent="0.3">
      <c r="B84" s="13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5"/>
    </row>
    <row r="85" spans="2:18" ht="15" thickBot="1" x14ac:dyDescent="0.35">
      <c r="B85" s="19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1"/>
    </row>
    <row r="88" spans="2:18" x14ac:dyDescent="0.3">
      <c r="B88" t="s">
        <v>58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Григорий Раевский</dc:creator>
  <cp:lastModifiedBy>Григорий Раевский</cp:lastModifiedBy>
  <dcterms:created xsi:type="dcterms:W3CDTF">2024-02-18T10:54:40Z</dcterms:created>
  <dcterms:modified xsi:type="dcterms:W3CDTF">2024-02-25T16:22:56Z</dcterms:modified>
</cp:coreProperties>
</file>